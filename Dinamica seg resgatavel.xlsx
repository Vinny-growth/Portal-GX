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b9b0ca3e8ca775/Área de Trabalho/"/>
    </mc:Choice>
  </mc:AlternateContent>
  <xr:revisionPtr revIDLastSave="55" documentId="8_{FD5DE3CB-E0CF-4B0F-819E-0F67E7FAAAE9}" xr6:coauthVersionLast="47" xr6:coauthVersionMax="47" xr10:uidLastSave="{2660BDB8-0338-4AC2-A756-189D3E784DE9}"/>
  <bookViews>
    <workbookView xWindow="-108" yWindow="-108" windowWidth="23256" windowHeight="12456" tabRatio="601" xr2:uid="{00000000-000D-0000-FFFF-FFFF00000000}"/>
  </bookViews>
  <sheets>
    <sheet name="Simulador" sheetId="1" r:id="rId1"/>
    <sheet name="Valores IOF" sheetId="10" r:id="rId2"/>
    <sheet name="Simulações" sheetId="8" r:id="rId3"/>
    <sheet name="Resgate" sheetId="9" r:id="rId4"/>
  </sheets>
  <definedNames>
    <definedName name="Mongeral_TM_10">"Teste"</definedName>
    <definedName name="Produtos">#N/A</definedName>
    <definedName name="Teste2">#N/A</definedName>
  </definedNames>
  <calcPr calcId="191029"/>
</workbook>
</file>

<file path=xl/calcChain.xml><?xml version="1.0" encoding="utf-8"?>
<calcChain xmlns="http://schemas.openxmlformats.org/spreadsheetml/2006/main">
  <c r="C9" i="1" l="1"/>
  <c r="C11" i="1"/>
  <c r="I3" i="1"/>
  <c r="I4" i="1" s="1"/>
  <c r="F6" i="1"/>
  <c r="A8" i="1"/>
  <c r="AV3" i="8"/>
  <c r="AW23" i="8" s="1"/>
  <c r="AX3" i="8"/>
  <c r="AY15" i="8" s="1"/>
  <c r="AX5" i="8"/>
  <c r="AV5" i="8"/>
  <c r="E3" i="8"/>
  <c r="F6" i="8" s="1"/>
  <c r="E5" i="8"/>
  <c r="G3" i="8"/>
  <c r="G5" i="8"/>
  <c r="C5" i="10"/>
  <c r="C14" i="10" s="1"/>
  <c r="C6" i="10"/>
  <c r="D15" i="10" s="1"/>
  <c r="AB3" i="8"/>
  <c r="AF4" i="8"/>
  <c r="AB5" i="8"/>
  <c r="AD3" i="8"/>
  <c r="AD5" i="8"/>
  <c r="S3" i="8"/>
  <c r="O4" i="8"/>
  <c r="O5" i="8"/>
  <c r="S5" i="8"/>
  <c r="U3" i="8"/>
  <c r="V5" i="8" s="1"/>
  <c r="U5" i="8"/>
  <c r="J23" i="1"/>
  <c r="A14" i="1"/>
  <c r="B14" i="1" s="1"/>
  <c r="D13" i="1"/>
  <c r="K8" i="8"/>
  <c r="K10" i="8" s="1"/>
  <c r="K12" i="8" s="1"/>
  <c r="L14" i="1"/>
  <c r="AL4" i="8"/>
  <c r="AL5" i="8" s="1"/>
  <c r="AL6" i="8" s="1"/>
  <c r="AL7" i="8" s="1"/>
  <c r="AL8" i="8" s="1"/>
  <c r="AL9" i="8" s="1"/>
  <c r="AL10" i="8" s="1"/>
  <c r="AL11" i="8" s="1"/>
  <c r="AL12" i="8" s="1"/>
  <c r="AL13" i="8" s="1"/>
  <c r="AL14" i="8" s="1"/>
  <c r="AL15" i="8" s="1"/>
  <c r="AL16" i="8" s="1"/>
  <c r="AL17" i="8" s="1"/>
  <c r="AL18" i="8" s="1"/>
  <c r="AL19" i="8" s="1"/>
  <c r="AL20" i="8" s="1"/>
  <c r="AL21" i="8" s="1"/>
  <c r="AL22" i="8" s="1"/>
  <c r="AL23" i="8" s="1"/>
  <c r="AL24" i="8" s="1"/>
  <c r="AL25" i="8" s="1"/>
  <c r="AL26" i="8" s="1"/>
  <c r="AL27" i="8" s="1"/>
  <c r="AL28" i="8" s="1"/>
  <c r="AL29" i="8" s="1"/>
  <c r="AL30" i="8" s="1"/>
  <c r="AL31" i="8" s="1"/>
  <c r="AL32" i="8" s="1"/>
  <c r="AL33" i="8" s="1"/>
  <c r="AL34" i="8" s="1"/>
  <c r="AL35" i="8" s="1"/>
  <c r="AL36" i="8" s="1"/>
  <c r="AL37" i="8" s="1"/>
  <c r="AL38" i="8" s="1"/>
  <c r="AL39" i="8" s="1"/>
  <c r="AL40" i="8" s="1"/>
  <c r="AL41" i="8" s="1"/>
  <c r="AL42" i="8" s="1"/>
  <c r="AL43" i="8" s="1"/>
  <c r="AL44" i="8" s="1"/>
  <c r="AL45" i="8" s="1"/>
  <c r="AL46" i="8" s="1"/>
  <c r="AL47" i="8" s="1"/>
  <c r="AL48" i="8" s="1"/>
  <c r="AL49" i="8" s="1"/>
  <c r="AL50" i="8" s="1"/>
  <c r="AL51" i="8" s="1"/>
  <c r="AL52" i="8" s="1"/>
  <c r="AL53" i="8" s="1"/>
  <c r="AL54" i="8" s="1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Y8" i="8"/>
  <c r="Y10" i="8" s="1"/>
  <c r="Y12" i="8" s="1"/>
  <c r="L16" i="1" s="1"/>
  <c r="K16" i="1" s="1"/>
  <c r="R8" i="8"/>
  <c r="R7" i="8"/>
  <c r="R6" i="8"/>
  <c r="R5" i="8"/>
  <c r="R4" i="8"/>
  <c r="R3" i="8"/>
  <c r="AF5" i="8"/>
  <c r="AF6" i="8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O6" i="8"/>
  <c r="O7" i="8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G14" i="1" l="1"/>
  <c r="H38" i="8"/>
  <c r="T10" i="8"/>
  <c r="AW45" i="8"/>
  <c r="T29" i="8"/>
  <c r="AW57" i="8"/>
  <c r="AW55" i="8"/>
  <c r="AW4" i="8"/>
  <c r="AW28" i="8"/>
  <c r="AE3" i="8"/>
  <c r="AW60" i="8"/>
  <c r="AW58" i="8"/>
  <c r="AW19" i="8"/>
  <c r="V46" i="8"/>
  <c r="AW49" i="8"/>
  <c r="H33" i="8"/>
  <c r="H16" i="8"/>
  <c r="H36" i="8"/>
  <c r="AW13" i="8"/>
  <c r="H3" i="8"/>
  <c r="H42" i="8"/>
  <c r="AW56" i="8"/>
  <c r="AW31" i="8"/>
  <c r="D6" i="10"/>
  <c r="E6" i="10" s="1"/>
  <c r="T3" i="8"/>
  <c r="AW26" i="8"/>
  <c r="AW14" i="8"/>
  <c r="AW54" i="8"/>
  <c r="D5" i="10"/>
  <c r="E5" i="10" s="1"/>
  <c r="AC3" i="8"/>
  <c r="AW42" i="8"/>
  <c r="AW43" i="8"/>
  <c r="AW46" i="8"/>
  <c r="AW34" i="8"/>
  <c r="AW41" i="8"/>
  <c r="AE47" i="8"/>
  <c r="AE12" i="8"/>
  <c r="AC31" i="8"/>
  <c r="AW20" i="8"/>
  <c r="AW36" i="8"/>
  <c r="AW10" i="8"/>
  <c r="AW8" i="8"/>
  <c r="AW38" i="8"/>
  <c r="AW48" i="8"/>
  <c r="AW51" i="8"/>
  <c r="H53" i="8"/>
  <c r="H10" i="8"/>
  <c r="AW47" i="8"/>
  <c r="H20" i="8"/>
  <c r="AW6" i="8"/>
  <c r="AW64" i="8"/>
  <c r="AW40" i="8"/>
  <c r="H15" i="8"/>
  <c r="AC28" i="8"/>
  <c r="AC17" i="8"/>
  <c r="AW11" i="8"/>
  <c r="AW27" i="8"/>
  <c r="AW25" i="8"/>
  <c r="AW37" i="8"/>
  <c r="AW50" i="8"/>
  <c r="AW21" i="8"/>
  <c r="AW9" i="8"/>
  <c r="AW5" i="8"/>
  <c r="AW17" i="8"/>
  <c r="AW7" i="8"/>
  <c r="F30" i="8"/>
  <c r="F43" i="8"/>
  <c r="AW33" i="8"/>
  <c r="T26" i="8"/>
  <c r="T51" i="8"/>
  <c r="T19" i="8"/>
  <c r="T15" i="8"/>
  <c r="T54" i="8"/>
  <c r="T30" i="8"/>
  <c r="T39" i="8"/>
  <c r="T35" i="8"/>
  <c r="T34" i="8"/>
  <c r="T12" i="8"/>
  <c r="T48" i="8"/>
  <c r="T4" i="8"/>
  <c r="T13" i="8"/>
  <c r="V3" i="8"/>
  <c r="T44" i="8"/>
  <c r="T38" i="8"/>
  <c r="T31" i="8"/>
  <c r="V6" i="8"/>
  <c r="T45" i="8"/>
  <c r="T22" i="8"/>
  <c r="AC54" i="8"/>
  <c r="AC49" i="8"/>
  <c r="AC46" i="8"/>
  <c r="AC29" i="8"/>
  <c r="AC13" i="8"/>
  <c r="AC8" i="8"/>
  <c r="AC6" i="8"/>
  <c r="AC51" i="8"/>
  <c r="AC26" i="8"/>
  <c r="AC24" i="8"/>
  <c r="AC14" i="8"/>
  <c r="AC5" i="8"/>
  <c r="AC53" i="8"/>
  <c r="AC52" i="8"/>
  <c r="AC27" i="8"/>
  <c r="AC4" i="8"/>
  <c r="D14" i="10"/>
  <c r="E14" i="10" s="1"/>
  <c r="AE44" i="8"/>
  <c r="AE35" i="8"/>
  <c r="AE34" i="8"/>
  <c r="AE30" i="8"/>
  <c r="AE28" i="8"/>
  <c r="AE27" i="8"/>
  <c r="AE22" i="8"/>
  <c r="AE21" i="8"/>
  <c r="AE9" i="8"/>
  <c r="AE52" i="8"/>
  <c r="AE36" i="8"/>
  <c r="AE32" i="8"/>
  <c r="AE31" i="8"/>
  <c r="AE29" i="8"/>
  <c r="AE23" i="8"/>
  <c r="AE5" i="8"/>
  <c r="AE26" i="8"/>
  <c r="E15" i="10"/>
  <c r="H41" i="8"/>
  <c r="T36" i="8"/>
  <c r="T24" i="8"/>
  <c r="T52" i="8"/>
  <c r="T7" i="8"/>
  <c r="T32" i="8"/>
  <c r="T5" i="8"/>
  <c r="T16" i="8"/>
  <c r="T49" i="8"/>
  <c r="T21" i="8"/>
  <c r="T37" i="8"/>
  <c r="H8" i="8"/>
  <c r="H22" i="8"/>
  <c r="H9" i="8"/>
  <c r="K6" i="8"/>
  <c r="V51" i="8"/>
  <c r="T46" i="8"/>
  <c r="T11" i="8"/>
  <c r="H4" i="8"/>
  <c r="I11" i="8" s="1"/>
  <c r="H27" i="8"/>
  <c r="T20" i="8"/>
  <c r="T25" i="8"/>
  <c r="T43" i="8"/>
  <c r="T18" i="8"/>
  <c r="T40" i="8"/>
  <c r="T6" i="8"/>
  <c r="T33" i="8"/>
  <c r="T50" i="8"/>
  <c r="T23" i="8"/>
  <c r="T53" i="8"/>
  <c r="H26" i="8"/>
  <c r="H44" i="8"/>
  <c r="H13" i="8"/>
  <c r="V19" i="8"/>
  <c r="T14" i="8"/>
  <c r="H11" i="8"/>
  <c r="AC25" i="8"/>
  <c r="AE54" i="8"/>
  <c r="AE49" i="8"/>
  <c r="AE46" i="8"/>
  <c r="AC45" i="8"/>
  <c r="AC43" i="8"/>
  <c r="AC41" i="8"/>
  <c r="AE40" i="8"/>
  <c r="AE39" i="8"/>
  <c r="AE25" i="8"/>
  <c r="AC19" i="8"/>
  <c r="F47" i="8"/>
  <c r="AW30" i="8"/>
  <c r="AW29" i="8"/>
  <c r="AW61" i="8"/>
  <c r="AW3" i="8"/>
  <c r="AE17" i="8"/>
  <c r="AE16" i="8"/>
  <c r="AC12" i="8"/>
  <c r="AC11" i="8"/>
  <c r="F54" i="8"/>
  <c r="F10" i="8"/>
  <c r="AY29" i="8"/>
  <c r="AY57" i="8"/>
  <c r="AY43" i="8"/>
  <c r="V33" i="8"/>
  <c r="F5" i="8"/>
  <c r="AY28" i="8"/>
  <c r="F45" i="8"/>
  <c r="AY37" i="8"/>
  <c r="AY17" i="8"/>
  <c r="F41" i="8"/>
  <c r="V35" i="8"/>
  <c r="AY14" i="8"/>
  <c r="F40" i="8"/>
  <c r="V52" i="8"/>
  <c r="V40" i="8"/>
  <c r="V16" i="8"/>
  <c r="V15" i="8"/>
  <c r="V12" i="8"/>
  <c r="AY9" i="8"/>
  <c r="AY13" i="8"/>
  <c r="F50" i="8"/>
  <c r="F37" i="8"/>
  <c r="F51" i="8"/>
  <c r="AY19" i="8"/>
  <c r="AY61" i="8"/>
  <c r="AY44" i="8"/>
  <c r="F53" i="8"/>
  <c r="F8" i="8"/>
  <c r="F38" i="8"/>
  <c r="AY33" i="8"/>
  <c r="AY18" i="8"/>
  <c r="AY24" i="8"/>
  <c r="AY58" i="8"/>
  <c r="AY21" i="8"/>
  <c r="V30" i="8"/>
  <c r="F20" i="8"/>
  <c r="V26" i="8"/>
  <c r="V18" i="8"/>
  <c r="AY12" i="8"/>
  <c r="F11" i="8"/>
  <c r="F32" i="8"/>
  <c r="F35" i="8"/>
  <c r="AY47" i="8"/>
  <c r="F27" i="8"/>
  <c r="F49" i="8"/>
  <c r="V9" i="8"/>
  <c r="V21" i="8"/>
  <c r="V34" i="8"/>
  <c r="V43" i="8"/>
  <c r="V23" i="8"/>
  <c r="AY25" i="8"/>
  <c r="F22" i="8"/>
  <c r="F46" i="8"/>
  <c r="V17" i="8"/>
  <c r="V7" i="8"/>
  <c r="AY23" i="8"/>
  <c r="AY45" i="8"/>
  <c r="F17" i="8"/>
  <c r="F31" i="8"/>
  <c r="F33" i="8"/>
  <c r="F36" i="8"/>
  <c r="AY27" i="8"/>
  <c r="AY8" i="8"/>
  <c r="AY52" i="8"/>
  <c r="F24" i="8"/>
  <c r="AY7" i="8"/>
  <c r="AY22" i="8"/>
  <c r="AY50" i="8"/>
  <c r="AY5" i="8"/>
  <c r="AY26" i="8"/>
  <c r="AY38" i="8"/>
  <c r="AY46" i="8"/>
  <c r="AY64" i="8"/>
  <c r="V4" i="8"/>
  <c r="V8" i="8"/>
  <c r="V50" i="8"/>
  <c r="AY34" i="8"/>
  <c r="V29" i="8"/>
  <c r="AY4" i="8"/>
  <c r="V22" i="8"/>
  <c r="V38" i="8"/>
  <c r="V14" i="8"/>
  <c r="V27" i="8"/>
  <c r="V44" i="8"/>
  <c r="AW44" i="8"/>
  <c r="AW52" i="8"/>
  <c r="AW63" i="8"/>
  <c r="AW12" i="8"/>
  <c r="AW53" i="8"/>
  <c r="AW18" i="8"/>
  <c r="AW59" i="8"/>
  <c r="AW32" i="8"/>
  <c r="AW62" i="8"/>
  <c r="AW15" i="8"/>
  <c r="AW24" i="8"/>
  <c r="H37" i="8"/>
  <c r="H24" i="8"/>
  <c r="H18" i="8"/>
  <c r="H21" i="8"/>
  <c r="H48" i="8"/>
  <c r="H52" i="8"/>
  <c r="AW22" i="8"/>
  <c r="AW39" i="8"/>
  <c r="AE53" i="8"/>
  <c r="AC50" i="8"/>
  <c r="AE48" i="8"/>
  <c r="AC47" i="8"/>
  <c r="AE45" i="8"/>
  <c r="V45" i="8"/>
  <c r="AC42" i="8"/>
  <c r="AE38" i="8"/>
  <c r="AE37" i="8"/>
  <c r="AC36" i="8"/>
  <c r="AC34" i="8"/>
  <c r="AE33" i="8"/>
  <c r="AC23" i="8"/>
  <c r="AC22" i="8"/>
  <c r="AC21" i="8"/>
  <c r="AE18" i="8"/>
  <c r="AC15" i="8"/>
  <c r="AE10" i="8"/>
  <c r="AC7" i="8"/>
  <c r="H46" i="8"/>
  <c r="H40" i="8"/>
  <c r="H28" i="8"/>
  <c r="AW16" i="8"/>
  <c r="AW35" i="8"/>
  <c r="A15" i="1"/>
  <c r="Y6" i="8"/>
  <c r="V10" i="8"/>
  <c r="V20" i="8"/>
  <c r="V25" i="8"/>
  <c r="V31" i="8"/>
  <c r="V41" i="8"/>
  <c r="V42" i="8"/>
  <c r="V47" i="8"/>
  <c r="V48" i="8"/>
  <c r="V53" i="8"/>
  <c r="AE4" i="8"/>
  <c r="AE6" i="8"/>
  <c r="AE7" i="8"/>
  <c r="AE8" i="8"/>
  <c r="AE11" i="8"/>
  <c r="AE13" i="8"/>
  <c r="AE14" i="8"/>
  <c r="AE19" i="8"/>
  <c r="AE20" i="8"/>
  <c r="AE24" i="8"/>
  <c r="AE50" i="8"/>
  <c r="AE51" i="8"/>
  <c r="AC18" i="8"/>
  <c r="AC30" i="8"/>
  <c r="AC32" i="8"/>
  <c r="AC33" i="8"/>
  <c r="AC35" i="8"/>
  <c r="AC37" i="8"/>
  <c r="AC38" i="8"/>
  <c r="AC39" i="8"/>
  <c r="AC40" i="8"/>
  <c r="AC44" i="8"/>
  <c r="H47" i="8"/>
  <c r="H6" i="8"/>
  <c r="H49" i="8"/>
  <c r="H43" i="8"/>
  <c r="H34" i="8"/>
  <c r="H17" i="8"/>
  <c r="H7" i="8"/>
  <c r="H29" i="8"/>
  <c r="H12" i="8"/>
  <c r="H45" i="8"/>
  <c r="H23" i="8"/>
  <c r="H31" i="8"/>
  <c r="H32" i="8"/>
  <c r="H19" i="8"/>
  <c r="H25" i="8"/>
  <c r="F26" i="8"/>
  <c r="F39" i="8"/>
  <c r="F28" i="8"/>
  <c r="F52" i="8"/>
  <c r="F19" i="8"/>
  <c r="F7" i="8"/>
  <c r="F16" i="8"/>
  <c r="F18" i="8"/>
  <c r="F3" i="8"/>
  <c r="F9" i="8"/>
  <c r="F21" i="8"/>
  <c r="F34" i="8"/>
  <c r="AY20" i="8"/>
  <c r="AY56" i="8"/>
  <c r="AY63" i="8"/>
  <c r="AY60" i="8"/>
  <c r="AY53" i="8"/>
  <c r="AY62" i="8"/>
  <c r="AY40" i="8"/>
  <c r="AY16" i="8"/>
  <c r="AY51" i="8"/>
  <c r="AY31" i="8"/>
  <c r="AY11" i="8"/>
  <c r="AY41" i="8"/>
  <c r="AY48" i="8"/>
  <c r="AY39" i="8"/>
  <c r="AY54" i="8"/>
  <c r="V13" i="8"/>
  <c r="V28" i="8"/>
  <c r="V39" i="8"/>
  <c r="V11" i="8"/>
  <c r="V37" i="8"/>
  <c r="V49" i="8"/>
  <c r="H14" i="8"/>
  <c r="H30" i="8"/>
  <c r="H54" i="8"/>
  <c r="H35" i="8"/>
  <c r="H51" i="8"/>
  <c r="H5" i="8"/>
  <c r="H50" i="8"/>
  <c r="H39" i="8"/>
  <c r="AY49" i="8"/>
  <c r="F23" i="8"/>
  <c r="V54" i="8"/>
  <c r="AC48" i="8"/>
  <c r="AE43" i="8"/>
  <c r="AE42" i="8"/>
  <c r="AE41" i="8"/>
  <c r="V36" i="8"/>
  <c r="V32" i="8"/>
  <c r="V24" i="8"/>
  <c r="AC20" i="8"/>
  <c r="AC16" i="8"/>
  <c r="AE15" i="8"/>
  <c r="AC10" i="8"/>
  <c r="AC9" i="8"/>
  <c r="AY3" i="8"/>
  <c r="AY32" i="8"/>
  <c r="AY10" i="8"/>
  <c r="F14" i="8"/>
  <c r="F15" i="8"/>
  <c r="F48" i="8"/>
  <c r="F42" i="8"/>
  <c r="F29" i="8"/>
  <c r="AY35" i="8"/>
  <c r="AY6" i="8"/>
  <c r="AY36" i="8"/>
  <c r="F13" i="8"/>
  <c r="F12" i="8"/>
  <c r="F4" i="8"/>
  <c r="AY59" i="8"/>
  <c r="AY30" i="8"/>
  <c r="AY55" i="8"/>
  <c r="AY42" i="8"/>
  <c r="F25" i="8"/>
  <c r="T47" i="8"/>
  <c r="T27" i="8"/>
  <c r="T8" i="8"/>
  <c r="T41" i="8"/>
  <c r="T17" i="8"/>
  <c r="T9" i="8"/>
  <c r="T42" i="8"/>
  <c r="T28" i="8"/>
  <c r="F44" i="8"/>
  <c r="AV7" i="8" l="1"/>
  <c r="AV9" i="8" s="1"/>
  <c r="U7" i="8"/>
  <c r="U9" i="8" s="1"/>
  <c r="L20" i="1" s="1"/>
  <c r="K20" i="1" s="1"/>
  <c r="C7" i="10"/>
  <c r="D7" i="10" s="1"/>
  <c r="E7" i="10" s="1"/>
  <c r="A16" i="1"/>
  <c r="B15" i="1"/>
  <c r="G15" i="1" s="1"/>
  <c r="AX7" i="8"/>
  <c r="AX9" i="8" s="1"/>
  <c r="G7" i="8"/>
  <c r="G9" i="8" s="1"/>
  <c r="C8" i="10"/>
  <c r="E7" i="8"/>
  <c r="E9" i="8" s="1"/>
  <c r="AD7" i="8"/>
  <c r="AD9" i="8" s="1"/>
  <c r="AB7" i="8"/>
  <c r="AB9" i="8" s="1"/>
  <c r="C4" i="10"/>
  <c r="S7" i="8"/>
  <c r="S9" i="8" s="1"/>
  <c r="L18" i="1" l="1"/>
  <c r="K18" i="1" s="1"/>
  <c r="K21" i="1" s="1"/>
  <c r="D14" i="1"/>
  <c r="E14" i="1" s="1"/>
  <c r="F14" i="1" s="1"/>
  <c r="H14" i="1" s="1"/>
  <c r="C16" i="10"/>
  <c r="D16" i="10" s="1"/>
  <c r="E16" i="10" s="1"/>
  <c r="A17" i="1"/>
  <c r="B16" i="1"/>
  <c r="G16" i="1" s="1"/>
  <c r="C9" i="10"/>
  <c r="D4" i="10"/>
  <c r="D8" i="10"/>
  <c r="E8" i="10" s="1"/>
  <c r="C17" i="10"/>
  <c r="D15" i="1" l="1"/>
  <c r="D16" i="1" s="1"/>
  <c r="L21" i="1"/>
  <c r="L23" i="1" s="1"/>
  <c r="A2" i="9"/>
  <c r="A3" i="9" s="1"/>
  <c r="A4" i="9" s="1"/>
  <c r="A5" i="9" s="1"/>
  <c r="A6" i="9" s="1"/>
  <c r="A7" i="9" s="1"/>
  <c r="A8" i="9" s="1"/>
  <c r="A9" i="9" s="1"/>
  <c r="A10" i="9" s="1"/>
  <c r="A11" i="9" s="1"/>
  <c r="D9" i="10"/>
  <c r="A18" i="1"/>
  <c r="B17" i="1"/>
  <c r="G17" i="1" s="1"/>
  <c r="D17" i="10"/>
  <c r="E17" i="10" s="1"/>
  <c r="K23" i="1"/>
  <c r="D13" i="10"/>
  <c r="E13" i="10" s="1"/>
  <c r="C18" i="10"/>
  <c r="E4" i="10"/>
  <c r="E9" i="10" s="1"/>
  <c r="E15" i="1" l="1"/>
  <c r="F15" i="1" s="1"/>
  <c r="H15" i="1" s="1"/>
  <c r="E18" i="10"/>
  <c r="F18" i="10" s="1"/>
  <c r="D18" i="10"/>
  <c r="A19" i="1"/>
  <c r="B18" i="1"/>
  <c r="G18" i="1" s="1"/>
  <c r="E16" i="1"/>
  <c r="D17" i="1"/>
  <c r="F16" i="1" l="1"/>
  <c r="H16" i="1" s="1"/>
  <c r="A20" i="1"/>
  <c r="B19" i="1"/>
  <c r="G19" i="1" s="1"/>
  <c r="D18" i="1"/>
  <c r="E17" i="1"/>
  <c r="F17" i="1" l="1"/>
  <c r="H17" i="1" s="1"/>
  <c r="A21" i="1"/>
  <c r="B20" i="1"/>
  <c r="G20" i="1" s="1"/>
  <c r="D19" i="1"/>
  <c r="E18" i="1"/>
  <c r="F18" i="1" l="1"/>
  <c r="H18" i="1" s="1"/>
  <c r="A22" i="1"/>
  <c r="B21" i="1"/>
  <c r="G21" i="1" s="1"/>
  <c r="D20" i="1"/>
  <c r="E19" i="1"/>
  <c r="F19" i="1" l="1"/>
  <c r="H19" i="1" s="1"/>
  <c r="B22" i="1"/>
  <c r="G22" i="1" s="1"/>
  <c r="A23" i="1"/>
  <c r="D21" i="1"/>
  <c r="E20" i="1"/>
  <c r="F20" i="1" l="1"/>
  <c r="H20" i="1" s="1"/>
  <c r="B23" i="1"/>
  <c r="G23" i="1" s="1"/>
  <c r="A24" i="1"/>
  <c r="E21" i="1"/>
  <c r="D22" i="1"/>
  <c r="F21" i="1" l="1"/>
  <c r="H21" i="1" s="1"/>
  <c r="A25" i="1"/>
  <c r="B24" i="1"/>
  <c r="G24" i="1" s="1"/>
  <c r="D23" i="1"/>
  <c r="E23" i="1" s="1"/>
  <c r="E22" i="1"/>
  <c r="F22" i="1" l="1"/>
  <c r="H22" i="1" s="1"/>
  <c r="B25" i="1"/>
  <c r="G25" i="1" s="1"/>
  <c r="A26" i="1"/>
  <c r="F23" i="1" l="1"/>
  <c r="H23" i="1" s="1"/>
  <c r="A27" i="1"/>
  <c r="B26" i="1"/>
  <c r="G26" i="1" s="1"/>
  <c r="H26" i="1" s="1"/>
  <c r="H24" i="1" l="1"/>
  <c r="H25" i="1"/>
  <c r="A28" i="1"/>
  <c r="B27" i="1"/>
  <c r="G27" i="1" s="1"/>
  <c r="H27" i="1" s="1"/>
  <c r="B28" i="1" l="1"/>
  <c r="G28" i="1" s="1"/>
  <c r="H28" i="1" s="1"/>
  <c r="A29" i="1"/>
  <c r="A30" i="1" l="1"/>
  <c r="B29" i="1"/>
  <c r="G29" i="1" s="1"/>
  <c r="H29" i="1" s="1"/>
  <c r="B30" i="1" l="1"/>
  <c r="G30" i="1" s="1"/>
  <c r="H30" i="1" s="1"/>
  <c r="A31" i="1"/>
  <c r="A32" i="1" l="1"/>
  <c r="B31" i="1"/>
  <c r="G31" i="1" s="1"/>
  <c r="H31" i="1" s="1"/>
  <c r="B32" i="1" l="1"/>
  <c r="G32" i="1" s="1"/>
  <c r="H32" i="1" s="1"/>
  <c r="A33" i="1"/>
  <c r="A34" i="1" l="1"/>
  <c r="B33" i="1"/>
  <c r="G33" i="1" s="1"/>
  <c r="H33" i="1" s="1"/>
  <c r="A35" i="1" l="1"/>
  <c r="B34" i="1"/>
  <c r="G34" i="1" s="1"/>
  <c r="H34" i="1" s="1"/>
  <c r="A36" i="1" l="1"/>
  <c r="B35" i="1"/>
  <c r="G35" i="1" s="1"/>
  <c r="H35" i="1" s="1"/>
  <c r="A37" i="1" l="1"/>
  <c r="B36" i="1"/>
  <c r="G36" i="1" s="1"/>
  <c r="H36" i="1" s="1"/>
  <c r="A38" i="1" l="1"/>
  <c r="B37" i="1"/>
  <c r="G37" i="1" s="1"/>
  <c r="H37" i="1" s="1"/>
  <c r="A39" i="1" l="1"/>
  <c r="B38" i="1"/>
  <c r="G38" i="1" s="1"/>
  <c r="H38" i="1" s="1"/>
  <c r="A40" i="1" l="1"/>
  <c r="B39" i="1"/>
  <c r="G39" i="1" s="1"/>
  <c r="H39" i="1" s="1"/>
  <c r="B40" i="1" l="1"/>
  <c r="G40" i="1" s="1"/>
  <c r="H40" i="1" s="1"/>
  <c r="A41" i="1"/>
  <c r="A42" i="1" l="1"/>
  <c r="B41" i="1"/>
  <c r="G41" i="1" s="1"/>
  <c r="H41" i="1" s="1"/>
  <c r="B42" i="1" l="1"/>
  <c r="G42" i="1" s="1"/>
  <c r="H42" i="1" s="1"/>
  <c r="A43" i="1"/>
  <c r="A44" i="1" l="1"/>
  <c r="B43" i="1"/>
  <c r="G43" i="1" s="1"/>
  <c r="H43" i="1" s="1"/>
  <c r="A45" i="1" l="1"/>
  <c r="B44" i="1"/>
  <c r="G44" i="1" s="1"/>
  <c r="H44" i="1" s="1"/>
  <c r="B45" i="1" l="1"/>
  <c r="G45" i="1" s="1"/>
  <c r="H45" i="1" s="1"/>
  <c r="A46" i="1"/>
  <c r="B46" i="1" l="1"/>
  <c r="G46" i="1" s="1"/>
  <c r="H46" i="1" s="1"/>
  <c r="A47" i="1"/>
  <c r="B47" i="1" l="1"/>
  <c r="G47" i="1" s="1"/>
  <c r="H47" i="1" s="1"/>
  <c r="A48" i="1"/>
  <c r="B48" i="1" l="1"/>
  <c r="G48" i="1" s="1"/>
  <c r="H48" i="1" s="1"/>
  <c r="A49" i="1"/>
  <c r="A50" i="1" l="1"/>
  <c r="B49" i="1"/>
  <c r="G49" i="1" s="1"/>
  <c r="H49" i="1" s="1"/>
  <c r="A51" i="1" l="1"/>
  <c r="B50" i="1"/>
  <c r="G50" i="1" s="1"/>
  <c r="H50" i="1" s="1"/>
  <c r="A52" i="1" l="1"/>
  <c r="B51" i="1"/>
  <c r="G51" i="1" s="1"/>
  <c r="H51" i="1" s="1"/>
  <c r="A53" i="1" l="1"/>
  <c r="B52" i="1"/>
  <c r="G52" i="1" s="1"/>
  <c r="H52" i="1" s="1"/>
  <c r="A54" i="1" l="1"/>
  <c r="B53" i="1"/>
  <c r="G53" i="1" s="1"/>
  <c r="H53" i="1" s="1"/>
  <c r="A55" i="1" l="1"/>
  <c r="B54" i="1"/>
  <c r="G54" i="1" s="1"/>
  <c r="H54" i="1" s="1"/>
  <c r="A56" i="1" l="1"/>
  <c r="B55" i="1"/>
  <c r="G55" i="1" s="1"/>
  <c r="H55" i="1" s="1"/>
  <c r="B56" i="1" l="1"/>
  <c r="G56" i="1" s="1"/>
  <c r="H56" i="1" s="1"/>
  <c r="A57" i="1"/>
  <c r="A58" i="1" l="1"/>
  <c r="B57" i="1"/>
  <c r="G57" i="1" s="1"/>
  <c r="H57" i="1" s="1"/>
  <c r="B58" i="1" l="1"/>
  <c r="G58" i="1" s="1"/>
  <c r="H58" i="1" s="1"/>
  <c r="A59" i="1"/>
  <c r="A60" i="1" l="1"/>
  <c r="B59" i="1"/>
  <c r="G59" i="1" s="1"/>
  <c r="H59" i="1" s="1"/>
  <c r="B60" i="1" l="1"/>
  <c r="G60" i="1" s="1"/>
  <c r="H60" i="1" s="1"/>
  <c r="A61" i="1"/>
  <c r="B61" i="1" l="1"/>
  <c r="G61" i="1" s="1"/>
  <c r="H61" i="1" s="1"/>
  <c r="A62" i="1"/>
  <c r="B62" i="1" l="1"/>
  <c r="G62" i="1" s="1"/>
  <c r="H62" i="1" s="1"/>
  <c r="A63" i="1"/>
  <c r="B63" i="1" l="1"/>
  <c r="G63" i="1" s="1"/>
  <c r="H63" i="1" s="1"/>
  <c r="A64" i="1"/>
  <c r="B64" i="1" l="1"/>
  <c r="G64" i="1" s="1"/>
  <c r="H64" i="1" s="1"/>
  <c r="A65" i="1"/>
  <c r="A66" i="1" l="1"/>
  <c r="B65" i="1"/>
  <c r="G65" i="1" s="1"/>
  <c r="H65" i="1" s="1"/>
  <c r="A67" i="1" l="1"/>
  <c r="B66" i="1"/>
  <c r="G66" i="1" s="1"/>
  <c r="H66" i="1" s="1"/>
  <c r="A68" i="1" l="1"/>
  <c r="B67" i="1"/>
  <c r="G67" i="1" s="1"/>
  <c r="H67" i="1" s="1"/>
  <c r="B68" i="1" l="1"/>
  <c r="G68" i="1" s="1"/>
  <c r="H68" i="1" s="1"/>
  <c r="A69" i="1"/>
  <c r="A70" i="1" l="1"/>
  <c r="B69" i="1"/>
  <c r="G69" i="1" s="1"/>
  <c r="H69" i="1" s="1"/>
  <c r="B70" i="1" l="1"/>
  <c r="G70" i="1" s="1"/>
  <c r="H70" i="1" s="1"/>
  <c r="A71" i="1"/>
  <c r="B71" i="1" l="1"/>
  <c r="G71" i="1" s="1"/>
  <c r="H71" i="1" s="1"/>
  <c r="A72" i="1"/>
  <c r="B72" i="1" l="1"/>
  <c r="G72" i="1" s="1"/>
  <c r="H72" i="1" s="1"/>
  <c r="A73" i="1"/>
  <c r="A74" i="1" l="1"/>
  <c r="B73" i="1"/>
  <c r="G73" i="1" s="1"/>
  <c r="H73" i="1" s="1"/>
  <c r="A75" i="1" l="1"/>
  <c r="B74" i="1"/>
  <c r="G74" i="1" s="1"/>
  <c r="H74" i="1" s="1"/>
  <c r="A76" i="1" l="1"/>
  <c r="B75" i="1"/>
  <c r="G75" i="1" s="1"/>
  <c r="H75" i="1" s="1"/>
  <c r="B76" i="1" l="1"/>
  <c r="G76" i="1" s="1"/>
  <c r="H76" i="1" s="1"/>
  <c r="A77" i="1"/>
  <c r="A78" i="1" l="1"/>
  <c r="B77" i="1"/>
  <c r="G77" i="1" s="1"/>
  <c r="H77" i="1" s="1"/>
  <c r="A79" i="1" l="1"/>
  <c r="B78" i="1"/>
  <c r="G78" i="1" s="1"/>
  <c r="H78" i="1" s="1"/>
  <c r="A80" i="1" l="1"/>
  <c r="B79" i="1"/>
  <c r="G79" i="1" s="1"/>
  <c r="H79" i="1" s="1"/>
  <c r="B80" i="1" l="1"/>
  <c r="G80" i="1" s="1"/>
  <c r="H80" i="1" s="1"/>
  <c r="A81" i="1"/>
  <c r="A82" i="1" l="1"/>
  <c r="B81" i="1"/>
  <c r="G81" i="1" s="1"/>
  <c r="H81" i="1" s="1"/>
  <c r="A83" i="1" l="1"/>
  <c r="B82" i="1"/>
  <c r="G82" i="1" s="1"/>
  <c r="H82" i="1" s="1"/>
  <c r="B83" i="1" l="1"/>
  <c r="G83" i="1" s="1"/>
  <c r="H83" i="1" s="1"/>
  <c r="A84" i="1"/>
  <c r="A85" i="1" l="1"/>
  <c r="B84" i="1"/>
  <c r="G84" i="1" s="1"/>
  <c r="H84" i="1" s="1"/>
  <c r="A86" i="1" l="1"/>
  <c r="B85" i="1"/>
  <c r="G85" i="1" s="1"/>
  <c r="H85" i="1" s="1"/>
  <c r="B86" i="1" l="1"/>
  <c r="G86" i="1" s="1"/>
  <c r="H86" i="1" s="1"/>
  <c r="A87" i="1"/>
  <c r="A88" i="1" l="1"/>
  <c r="B87" i="1"/>
  <c r="G87" i="1" s="1"/>
  <c r="H87" i="1" s="1"/>
  <c r="B88" i="1" l="1"/>
  <c r="G88" i="1" s="1"/>
  <c r="H88" i="1" s="1"/>
  <c r="A89" i="1"/>
  <c r="A90" i="1" l="1"/>
  <c r="B89" i="1"/>
  <c r="G89" i="1" s="1"/>
  <c r="H89" i="1" s="1"/>
  <c r="A91" i="1" l="1"/>
  <c r="B90" i="1"/>
  <c r="G90" i="1" s="1"/>
  <c r="H90" i="1" s="1"/>
  <c r="A92" i="1" l="1"/>
  <c r="B91" i="1"/>
  <c r="G91" i="1" s="1"/>
  <c r="H91" i="1" s="1"/>
  <c r="B92" i="1" l="1"/>
  <c r="G92" i="1" s="1"/>
  <c r="H92" i="1" s="1"/>
  <c r="A93" i="1"/>
  <c r="A94" i="1" l="1"/>
  <c r="B93" i="1"/>
  <c r="G93" i="1" s="1"/>
  <c r="H93" i="1" s="1"/>
  <c r="B94" i="1" l="1"/>
  <c r="G94" i="1" s="1"/>
  <c r="H94" i="1" s="1"/>
  <c r="A95" i="1"/>
  <c r="A96" i="1" l="1"/>
  <c r="B95" i="1"/>
  <c r="G95" i="1" s="1"/>
  <c r="H95" i="1" s="1"/>
  <c r="B96" i="1" l="1"/>
  <c r="G96" i="1" s="1"/>
  <c r="H96" i="1" s="1"/>
  <c r="A97" i="1"/>
  <c r="A98" i="1" l="1"/>
  <c r="B97" i="1"/>
  <c r="G97" i="1" s="1"/>
  <c r="H97" i="1" s="1"/>
  <c r="A99" i="1" l="1"/>
  <c r="B98" i="1"/>
  <c r="G98" i="1" s="1"/>
  <c r="H98" i="1" s="1"/>
  <c r="B99" i="1" l="1"/>
  <c r="G99" i="1" s="1"/>
  <c r="H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Brito</author>
  </authors>
  <commentList>
    <comment ref="C2" authorId="0" shapeId="0" xr:uid="{00000000-0006-0000-0000-000001000000}">
      <text>
        <r>
          <rPr>
            <b/>
            <sz val="9"/>
            <color indexed="8"/>
            <rFont val="Segoe UI"/>
            <family val="2"/>
            <charset val="1"/>
          </rPr>
          <t xml:space="preserve">Idade Mínima: 14 anos
</t>
        </r>
        <r>
          <rPr>
            <b/>
            <sz val="9"/>
            <color indexed="8"/>
            <rFont val="Segoe UI"/>
            <family val="2"/>
            <charset val="1"/>
          </rPr>
          <t>Idade Máxima: 65 anos</t>
        </r>
      </text>
    </comment>
    <comment ref="E2" authorId="0" shapeId="0" xr:uid="{00000000-0006-0000-0000-000002000000}">
      <text>
        <r>
          <rPr>
            <b/>
            <sz val="9"/>
            <color rgb="FF000000"/>
            <rFont val="Segoe UI"/>
            <family val="2"/>
            <charset val="1"/>
          </rPr>
          <t xml:space="preserve">Cobertura Mínima - 160k
</t>
        </r>
        <r>
          <rPr>
            <b/>
            <sz val="9"/>
            <color rgb="FF000000"/>
            <rFont val="Segoe UI"/>
            <family val="2"/>
            <charset val="1"/>
          </rPr>
          <t>Cobertura Máxima - 30M</t>
        </r>
      </text>
    </comment>
    <comment ref="G2" authorId="0" shapeId="0" xr:uid="{00000000-0006-0000-0000-000003000000}">
      <text>
        <r>
          <rPr>
            <b/>
            <sz val="9"/>
            <color indexed="8"/>
            <rFont val="Segoe UI"/>
            <family val="2"/>
            <charset val="1"/>
          </rPr>
          <t>Projeção do IPCA em todas as colunas de cálculo</t>
        </r>
      </text>
    </comment>
    <comment ref="J13" authorId="0" shapeId="0" xr:uid="{00000000-0006-0000-0000-000004000000}">
      <text>
        <r>
          <rPr>
            <sz val="9"/>
            <color indexed="8"/>
            <rFont val="Segoe UI"/>
            <family val="2"/>
            <charset val="1"/>
          </rPr>
          <t>• Indenização adicional para caso de falecimento por Acidente;</t>
        </r>
        <r>
          <rPr>
            <b/>
            <sz val="9"/>
            <color indexed="8"/>
            <rFont val="Segoe UI"/>
            <family val="2"/>
            <charset val="1"/>
          </rPr>
          <t xml:space="preserve">
</t>
        </r>
        <r>
          <rPr>
            <b/>
            <sz val="9"/>
            <color indexed="8"/>
            <rFont val="Segoe UI"/>
            <family val="2"/>
            <charset val="1"/>
          </rPr>
          <t xml:space="preserve">• Em caso de invalidez parcial, haverá suspensão de pagamento e o benefício continua vigente;
</t>
        </r>
        <r>
          <rPr>
            <b/>
            <sz val="9"/>
            <color indexed="8"/>
            <rFont val="Segoe UI"/>
            <family val="2"/>
            <charset val="1"/>
          </rPr>
          <t xml:space="preserve">• Em caso de Invalidez total, cobertura finalizada;
</t>
        </r>
        <r>
          <rPr>
            <b/>
            <sz val="9"/>
            <color indexed="8"/>
            <rFont val="Segoe UI"/>
            <family val="2"/>
            <charset val="1"/>
          </rPr>
          <t xml:space="preserve">• Cobertura termina com o fim do pagamento do Vida Inteira (Resgatável)
</t>
        </r>
      </text>
    </comment>
    <comment ref="J15" authorId="0" shapeId="0" xr:uid="{00000000-0006-0000-0000-000007000000}">
      <text>
        <r>
          <rPr>
            <sz val="9"/>
            <color indexed="8"/>
            <rFont val="Segoe UI"/>
            <family val="2"/>
            <charset val="1"/>
          </rPr>
          <t xml:space="preserve">• Perda total da visão de um olho;
</t>
        </r>
        <r>
          <rPr>
            <sz val="9"/>
            <color indexed="8"/>
            <rFont val="Segoe UI"/>
            <family val="2"/>
            <charset val="1"/>
          </rPr>
          <t xml:space="preserve">• Surdez total e incurável de ambos os ouvidos;
</t>
        </r>
        <r>
          <rPr>
            <sz val="9"/>
            <color indexed="8"/>
            <rFont val="Segoe UI"/>
            <family val="2"/>
            <charset val="1"/>
          </rPr>
          <t xml:space="preserve">• Perda total do uso de um dos membros superiores;
</t>
        </r>
        <r>
          <rPr>
            <sz val="9"/>
            <color indexed="8"/>
            <rFont val="Segoe UI"/>
            <family val="2"/>
            <charset val="1"/>
          </rPr>
          <t xml:space="preserve">• Perda total do uso de um dos membros inferiores;
</t>
        </r>
        <r>
          <rPr>
            <sz val="9"/>
            <color indexed="8"/>
            <rFont val="Segoe UI"/>
            <family val="2"/>
            <charset val="1"/>
          </rPr>
          <t xml:space="preserve">• Perda total do uso de uma das mãos;
</t>
        </r>
        <r>
          <rPr>
            <sz val="9"/>
            <color indexed="8"/>
            <rFont val="Segoe UI"/>
            <family val="2"/>
            <charset val="1"/>
          </rPr>
          <t xml:space="preserve">• Imobilidade do segmento cervical da coluna vertebral;
</t>
        </r>
        <r>
          <rPr>
            <sz val="9"/>
            <color indexed="8"/>
            <rFont val="Segoe UI"/>
            <family val="2"/>
            <charset val="1"/>
          </rPr>
          <t xml:space="preserve">• Imobilidade do segmento sacro-lombo-torácico da coluna vertebral;
</t>
        </r>
        <r>
          <rPr>
            <sz val="9"/>
            <color indexed="8"/>
            <rFont val="Segoe UI"/>
            <family val="2"/>
            <charset val="1"/>
          </rPr>
          <t xml:space="preserve">• Mudez incurável.
</t>
        </r>
        <r>
          <rPr>
            <b/>
            <sz val="9"/>
            <color indexed="8"/>
            <rFont val="Segoe UI"/>
            <family val="2"/>
            <charset val="1"/>
          </rPr>
          <t xml:space="preserve">• Em caso de Invalidez total, cobertura finalizada;
</t>
        </r>
        <r>
          <rPr>
            <b/>
            <sz val="9"/>
            <color indexed="8"/>
            <rFont val="Segoe UI"/>
            <family val="2"/>
            <charset val="1"/>
          </rPr>
          <t>• Cobertura termina com o fim do pagamento do Vida Inteira (Resgatável)</t>
        </r>
      </text>
    </comment>
    <comment ref="J17" authorId="0" shapeId="0" xr:uid="{00000000-0006-0000-0000-000008000000}">
      <text>
        <r>
          <rPr>
            <sz val="9"/>
            <color indexed="8"/>
            <rFont val="Segoe UI"/>
            <family val="2"/>
            <charset val="1"/>
          </rPr>
          <t xml:space="preserve">• Câncer
</t>
        </r>
        <r>
          <rPr>
            <sz val="9"/>
            <color indexed="8"/>
            <rFont val="Segoe UI"/>
            <family val="2"/>
            <charset val="1"/>
          </rPr>
          <t xml:space="preserve">• Cirurgia de Revascularização Miocárdica com Implante de Ponte(s) Vascular(es) nas Artérias Coronarianas (Bypass)
</t>
        </r>
        <r>
          <rPr>
            <sz val="9"/>
            <color indexed="8"/>
            <rFont val="Segoe UI"/>
            <family val="2"/>
            <charset val="1"/>
          </rPr>
          <t xml:space="preserve">• Infarto Agudo do Miocárdio
</t>
        </r>
        <r>
          <rPr>
            <sz val="9"/>
            <color indexed="8"/>
            <rFont val="Segoe UI"/>
            <family val="2"/>
            <charset val="1"/>
          </rPr>
          <t xml:space="preserve">• Insuficiência Renal Terminal
</t>
        </r>
        <r>
          <rPr>
            <sz val="9"/>
            <color indexed="8"/>
            <rFont val="Segoe UI"/>
            <family val="2"/>
            <charset val="1"/>
          </rPr>
          <t xml:space="preserve">• Acidente Vascular Cerebral
</t>
        </r>
        <r>
          <rPr>
            <sz val="9"/>
            <color indexed="8"/>
            <rFont val="Segoe UI"/>
            <family val="2"/>
            <charset val="1"/>
          </rPr>
          <t xml:space="preserve">• Transplantes de Órgãos
</t>
        </r>
        <r>
          <rPr>
            <sz val="9"/>
            <color indexed="8"/>
            <rFont val="Segoe UI"/>
            <family val="2"/>
            <charset val="1"/>
          </rPr>
          <t xml:space="preserve">• Paralisia
</t>
        </r>
        <r>
          <rPr>
            <sz val="9"/>
            <color indexed="8"/>
            <rFont val="Segoe UI"/>
            <family val="2"/>
            <charset val="1"/>
          </rPr>
          <t xml:space="preserve">• Cegueira ou Perda da Visão
</t>
        </r>
        <r>
          <rPr>
            <sz val="9"/>
            <color indexed="8"/>
            <rFont val="Segoe UI"/>
            <family val="2"/>
            <charset val="1"/>
          </rPr>
          <t xml:space="preserve">• Cirurgia para Troca de Valvas Cardíacas
</t>
        </r>
        <r>
          <rPr>
            <sz val="9"/>
            <color indexed="8"/>
            <rFont val="Segoe UI"/>
            <family val="2"/>
            <charset val="1"/>
          </rPr>
          <t xml:space="preserve">• Cirurgia da Aorta
</t>
        </r>
        <r>
          <rPr>
            <sz val="9"/>
            <color indexed="8"/>
            <rFont val="Segoe UI"/>
            <family val="2"/>
            <charset val="1"/>
          </rPr>
          <t xml:space="preserve">• Esclerose Múltipla
</t>
        </r>
        <r>
          <rPr>
            <sz val="9"/>
            <color indexed="8"/>
            <rFont val="Segoe UI"/>
            <family val="2"/>
            <charset val="1"/>
          </rPr>
          <t xml:space="preserve">• Surdez ou Perda da Audição
</t>
        </r>
        <r>
          <rPr>
            <sz val="9"/>
            <color indexed="8"/>
            <rFont val="Segoe UI"/>
            <family val="2"/>
            <charset val="1"/>
          </rPr>
          <t>• Queimaduras Graves</t>
        </r>
        <r>
          <rPr>
            <b/>
            <sz val="9"/>
            <color indexed="8"/>
            <rFont val="Segoe UI"/>
            <family val="2"/>
            <charset val="1"/>
          </rPr>
          <t xml:space="preserve">
</t>
        </r>
        <r>
          <rPr>
            <b/>
            <sz val="9"/>
            <color indexed="8"/>
            <rFont val="Segoe UI"/>
            <family val="2"/>
            <charset val="1"/>
          </rPr>
          <t xml:space="preserve">• Em caso de invalidez parcial, haverá suspensão de pagamento e o benefício continua vigente;
</t>
        </r>
        <r>
          <rPr>
            <b/>
            <sz val="9"/>
            <color indexed="8"/>
            <rFont val="Segoe UI"/>
            <family val="2"/>
            <charset val="1"/>
          </rPr>
          <t xml:space="preserve">• Em caso de Invalidez total, cobertura finalizada;
</t>
        </r>
        <r>
          <rPr>
            <b/>
            <sz val="9"/>
            <color indexed="8"/>
            <rFont val="Segoe UI"/>
            <family val="2"/>
            <charset val="1"/>
          </rPr>
          <t>• Cobertura termina com o fim do pagamento do Vida Inteira (Resgatável)</t>
        </r>
      </text>
    </comment>
    <comment ref="J19" authorId="0" shapeId="0" xr:uid="{00000000-0006-0000-0000-000009000000}">
      <text>
        <r>
          <rPr>
            <sz val="9"/>
            <color indexed="8"/>
            <rFont val="Segoe UI"/>
            <family val="2"/>
            <charset val="1"/>
          </rPr>
          <t xml:space="preserve">• Reposição de renda a partir do 5º dia de internação, pago retroativo desde o 1º dia;
</t>
        </r>
        <r>
          <rPr>
            <sz val="9"/>
            <color indexed="8"/>
            <rFont val="Segoe UI"/>
            <family val="2"/>
            <charset val="1"/>
          </rPr>
          <t xml:space="preserve">• Limite de 200 diárias pelo mesmo evento;
</t>
        </r>
        <r>
          <rPr>
            <sz val="9"/>
            <color indexed="8"/>
            <rFont val="Segoe UI"/>
            <family val="2"/>
            <charset val="1"/>
          </rPr>
          <t xml:space="preserve">• Limite de 5 utilizações por vigência (5 anos);
</t>
        </r>
        <r>
          <rPr>
            <sz val="9"/>
            <color indexed="8"/>
            <rFont val="Segoe UI"/>
            <family val="2"/>
            <charset val="1"/>
          </rPr>
          <t xml:space="preserve">• Indenização é dobrada enquanto estiver na UTI;
</t>
        </r>
        <r>
          <rPr>
            <b/>
            <sz val="9"/>
            <color indexed="8"/>
            <rFont val="Segoe UI"/>
            <family val="2"/>
            <charset val="1"/>
          </rPr>
          <t xml:space="preserve">• Em caso de invalidez parcial, haverá suspensão de pagamento e o benefício continua vigente;
</t>
        </r>
        <r>
          <rPr>
            <b/>
            <sz val="9"/>
            <color indexed="8"/>
            <rFont val="Segoe UI"/>
            <family val="2"/>
            <charset val="1"/>
          </rPr>
          <t xml:space="preserve">• Em caso de Invalidez total, cobertura finalizada;
</t>
        </r>
        <r>
          <rPr>
            <b/>
            <sz val="9"/>
            <color indexed="8"/>
            <rFont val="Segoe UI"/>
            <family val="2"/>
            <charset val="1"/>
          </rPr>
          <t>• Cobertura termina com o fim do pagamento do Vida Inteira (Resgatável)</t>
        </r>
        <r>
          <rPr>
            <sz val="9"/>
            <color indexed="8"/>
            <rFont val="Segoe UI"/>
            <family val="2"/>
            <charset val="1"/>
          </rPr>
          <t xml:space="preserve">
</t>
        </r>
        <r>
          <rPr>
            <sz val="9"/>
            <color indexed="8"/>
            <rFont val="Segoe U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<sst xmlns="http://schemas.openxmlformats.org/spreadsheetml/2006/main" count="136" uniqueCount="58">
  <si>
    <t>Anos</t>
  </si>
  <si>
    <t>Capital Segurado</t>
  </si>
  <si>
    <t>Inserir dados</t>
  </si>
  <si>
    <t>Prêmio Anual</t>
  </si>
  <si>
    <t>Idade</t>
  </si>
  <si>
    <t>Feminino</t>
  </si>
  <si>
    <t>Fem</t>
  </si>
  <si>
    <t>Masc</t>
  </si>
  <si>
    <t xml:space="preserve">WL 10 Feminino </t>
  </si>
  <si>
    <t>WL10 Masculino</t>
  </si>
  <si>
    <t>Masculino</t>
  </si>
  <si>
    <t>WL10 X</t>
  </si>
  <si>
    <t>IPCA</t>
  </si>
  <si>
    <t>Sexo</t>
  </si>
  <si>
    <t>Aporte Acumulado</t>
  </si>
  <si>
    <t>Aporte c/ Agravo</t>
  </si>
  <si>
    <t>Morte Acidental</t>
  </si>
  <si>
    <t>Renda Hospitalar</t>
  </si>
  <si>
    <t>Invalidez Parcial</t>
  </si>
  <si>
    <t>Invalidez Acidental</t>
  </si>
  <si>
    <t>Prêmio Mensal</t>
  </si>
  <si>
    <t>Total</t>
  </si>
  <si>
    <t xml:space="preserve"> </t>
  </si>
  <si>
    <t>*Tributação de acordo com a legislação vigente</t>
  </si>
  <si>
    <t>Mas</t>
  </si>
  <si>
    <t>DDR - Plus</t>
  </si>
  <si>
    <t>DDR - Básico</t>
  </si>
  <si>
    <t>Masculinio</t>
  </si>
  <si>
    <t>Doenças Graves Plus</t>
  </si>
  <si>
    <t>Vida Inteira</t>
  </si>
  <si>
    <t>Prêmio Líquido</t>
  </si>
  <si>
    <t>IOF</t>
  </si>
  <si>
    <t>Prêmio Bruto</t>
  </si>
  <si>
    <t>Periodicidade Anual</t>
  </si>
  <si>
    <t>Periodicidade Mensal</t>
  </si>
  <si>
    <t>]</t>
  </si>
  <si>
    <t>Prêmio Anual Total Fracionado</t>
  </si>
  <si>
    <t>WL20 C</t>
  </si>
  <si>
    <t>WL20 Masculino</t>
  </si>
  <si>
    <t xml:space="preserve">WL 20 Feminino </t>
  </si>
  <si>
    <t>Mensal</t>
  </si>
  <si>
    <t>Aporte Anual</t>
  </si>
  <si>
    <t>Aporte</t>
  </si>
  <si>
    <t>Apólice Quitada</t>
  </si>
  <si>
    <t>ESTRATÉGIA DE MÉDIO PRAZO</t>
  </si>
  <si>
    <t>PROTEÇÃO FAMILIAR + FORMAÇÃO DE RESERVA</t>
  </si>
  <si>
    <t xml:space="preserve">O valor de resgate apresentado considera que os prêmios (aportes) são pagos em dia e já está capitalizado atuarialmente com base na taxa de juros de 3% ao ano, restando apenas aplicar o índice de atualização monetária referente ao IPCA mensalmente. A capitalização atuarial utilizada nestes cálculos considera fatores tais como probabilidade de morte, idade, sexo, ano de vigência da apólice e capital segurado. </t>
  </si>
  <si>
    <t>Reserva Acumulada</t>
  </si>
  <si>
    <t xml:space="preserve">Congelamento de Risco: </t>
  </si>
  <si>
    <t>* Considerando IPCA de</t>
  </si>
  <si>
    <t>aa</t>
  </si>
  <si>
    <t>anos</t>
  </si>
  <si>
    <t>SEGURO RESGATÁVEL | Dinâmica Financeira</t>
  </si>
  <si>
    <t>Nome</t>
  </si>
  <si>
    <t>DANIEL</t>
  </si>
  <si>
    <t>Period.</t>
  </si>
  <si>
    <t>Nascimento</t>
  </si>
  <si>
    <t>Augusto Giani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</si>
</sst>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0.0%"/>
    <numFmt numFmtId="167" formatCode="0.00000"/>
  </numFmts>
  <fonts count="3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9"/>
      <color indexed="8"/>
      <name val="Segoe UI"/>
      <family val="2"/>
      <charset val="1"/>
    </font>
    <font>
      <sz val="9"/>
      <color indexed="8"/>
      <name val="Segoe U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i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theme="0" tint="-0.499984740745262"/>
      <name val="Arial"/>
      <family val="2"/>
    </font>
    <font>
      <i/>
      <sz val="10"/>
      <color theme="0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rgb="FF000000"/>
      <name val="Segoe U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181">
    <xf numFmtId="0" fontId="0" fillId="0" borderId="0" xfId="0"/>
    <xf numFmtId="164" fontId="6" fillId="0" borderId="0" xfId="1" applyFont="1"/>
    <xf numFmtId="2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7" fillId="0" borderId="0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vertical="center"/>
    </xf>
    <xf numFmtId="0" fontId="9" fillId="4" borderId="0" xfId="0" applyFont="1" applyFill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4" fontId="11" fillId="0" borderId="0" xfId="4" applyNumberFormat="1" applyFont="1" applyBorder="1" applyAlignment="1">
      <alignment horizontal="center" vertical="center"/>
    </xf>
    <xf numFmtId="164" fontId="0" fillId="0" borderId="0" xfId="0" applyNumberFormat="1"/>
    <xf numFmtId="164" fontId="0" fillId="0" borderId="20" xfId="0" applyNumberFormat="1" applyBorder="1"/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164" fontId="6" fillId="5" borderId="0" xfId="1" applyFont="1" applyFill="1"/>
    <xf numFmtId="164" fontId="7" fillId="5" borderId="0" xfId="1" applyFont="1" applyFill="1" applyBorder="1" applyAlignment="1">
      <alignment horizontal="center" vertical="center" wrapText="1"/>
    </xf>
    <xf numFmtId="164" fontId="0" fillId="5" borderId="0" xfId="0" applyNumberForma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5" borderId="0" xfId="0" applyFill="1"/>
    <xf numFmtId="167" fontId="0" fillId="0" borderId="0" xfId="0" applyNumberFormat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6" fillId="0" borderId="0" xfId="1" applyFont="1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/>
    <xf numFmtId="0" fontId="0" fillId="0" borderId="28" xfId="0" applyBorder="1" applyAlignment="1">
      <alignment horizontal="center" vertical="center"/>
    </xf>
    <xf numFmtId="4" fontId="11" fillId="0" borderId="29" xfId="4" applyNumberFormat="1" applyFont="1" applyBorder="1" applyAlignment="1">
      <alignment horizontal="center" vertical="center"/>
    </xf>
    <xf numFmtId="4" fontId="11" fillId="0" borderId="7" xfId="4" applyNumberFormat="1" applyFont="1" applyBorder="1" applyAlignment="1">
      <alignment horizontal="center" vertical="center"/>
    </xf>
    <xf numFmtId="164" fontId="0" fillId="5" borderId="0" xfId="0" applyNumberFormat="1" applyFill="1"/>
    <xf numFmtId="0" fontId="12" fillId="4" borderId="0" xfId="0" applyFont="1" applyFill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0" fillId="3" borderId="0" xfId="0" applyFill="1"/>
    <xf numFmtId="164" fontId="8" fillId="3" borderId="0" xfId="0" applyNumberFormat="1" applyFont="1" applyFill="1"/>
    <xf numFmtId="0" fontId="8" fillId="3" borderId="0" xfId="0" applyFont="1" applyFill="1"/>
    <xf numFmtId="10" fontId="6" fillId="3" borderId="0" xfId="3" applyNumberFormat="1" applyFont="1" applyFill="1" applyBorder="1" applyAlignment="1">
      <alignment vertical="center"/>
    </xf>
    <xf numFmtId="10" fontId="13" fillId="3" borderId="0" xfId="3" applyNumberFormat="1" applyFont="1" applyFill="1" applyBorder="1" applyAlignment="1">
      <alignment vertical="center"/>
    </xf>
    <xf numFmtId="166" fontId="13" fillId="3" borderId="0" xfId="3" applyNumberFormat="1" applyFont="1" applyFill="1" applyBorder="1" applyAlignment="1">
      <alignment vertical="center"/>
    </xf>
    <xf numFmtId="10" fontId="13" fillId="3" borderId="0" xfId="3" applyNumberFormat="1" applyFont="1" applyFill="1" applyBorder="1"/>
    <xf numFmtId="0" fontId="1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5" fillId="6" borderId="30" xfId="0" applyFont="1" applyFill="1" applyBorder="1" applyAlignment="1">
      <alignment horizontal="center" vertical="center"/>
    </xf>
    <xf numFmtId="0" fontId="16" fillId="4" borderId="0" xfId="0" applyFont="1" applyFill="1"/>
    <xf numFmtId="164" fontId="16" fillId="4" borderId="0" xfId="0" applyNumberFormat="1" applyFont="1" applyFill="1"/>
    <xf numFmtId="164" fontId="8" fillId="4" borderId="0" xfId="1" applyFont="1" applyFill="1"/>
    <xf numFmtId="2" fontId="2" fillId="2" borderId="31" xfId="0" applyNumberFormat="1" applyFont="1" applyFill="1" applyBorder="1" applyAlignment="1">
      <alignment horizontal="center" vertical="center" wrapText="1"/>
    </xf>
    <xf numFmtId="2" fontId="2" fillId="2" borderId="32" xfId="0" applyNumberFormat="1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4" fontId="6" fillId="0" borderId="0" xfId="4" applyNumberFormat="1" applyBorder="1" applyAlignment="1">
      <alignment horizontal="center" vertical="center"/>
    </xf>
    <xf numFmtId="2" fontId="6" fillId="0" borderId="34" xfId="4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" fontId="6" fillId="0" borderId="36" xfId="4" applyNumberFormat="1" applyBorder="1" applyAlignment="1">
      <alignment horizontal="center" vertical="center"/>
    </xf>
    <xf numFmtId="2" fontId="6" fillId="0" borderId="37" xfId="4" applyNumberFormat="1" applyBorder="1" applyAlignment="1">
      <alignment horizontal="center" vertical="center"/>
    </xf>
    <xf numFmtId="44" fontId="0" fillId="0" borderId="0" xfId="0" applyNumberFormat="1"/>
    <xf numFmtId="165" fontId="17" fillId="3" borderId="38" xfId="4" applyFont="1" applyFill="1" applyBorder="1" applyAlignment="1">
      <alignment vertical="center"/>
    </xf>
    <xf numFmtId="165" fontId="14" fillId="3" borderId="30" xfId="4" applyFont="1" applyFill="1" applyBorder="1" applyAlignment="1" applyProtection="1">
      <alignment horizontal="center"/>
    </xf>
    <xf numFmtId="43" fontId="8" fillId="4" borderId="0" xfId="0" applyNumberFormat="1" applyFont="1" applyFill="1"/>
    <xf numFmtId="0" fontId="10" fillId="6" borderId="30" xfId="0" applyFont="1" applyFill="1" applyBorder="1" applyAlignment="1">
      <alignment vertical="center"/>
    </xf>
    <xf numFmtId="0" fontId="18" fillId="6" borderId="39" xfId="0" applyFont="1" applyFill="1" applyBorder="1" applyAlignment="1">
      <alignment horizontal="center"/>
    </xf>
    <xf numFmtId="0" fontId="18" fillId="6" borderId="30" xfId="0" applyFont="1" applyFill="1" applyBorder="1" applyAlignment="1">
      <alignment horizontal="center"/>
    </xf>
    <xf numFmtId="0" fontId="18" fillId="6" borderId="38" xfId="0" applyFont="1" applyFill="1" applyBorder="1" applyAlignment="1">
      <alignment horizontal="center"/>
    </xf>
    <xf numFmtId="165" fontId="14" fillId="3" borderId="30" xfId="4" applyFont="1" applyFill="1" applyBorder="1" applyAlignment="1" applyProtection="1">
      <alignment horizontal="center" vertical="center"/>
    </xf>
    <xf numFmtId="165" fontId="17" fillId="3" borderId="38" xfId="4" applyFont="1" applyFill="1" applyBorder="1" applyAlignment="1">
      <alignment horizontal="center" vertical="center"/>
    </xf>
    <xf numFmtId="43" fontId="17" fillId="3" borderId="38" xfId="4" applyNumberFormat="1" applyFont="1" applyFill="1" applyBorder="1" applyAlignment="1">
      <alignment horizontal="center" vertical="center"/>
    </xf>
    <xf numFmtId="0" fontId="19" fillId="4" borderId="30" xfId="0" applyFont="1" applyFill="1" applyBorder="1"/>
    <xf numFmtId="0" fontId="1" fillId="0" borderId="40" xfId="2" applyFont="1" applyBorder="1" applyAlignment="1">
      <alignment horizontal="center" vertical="center" wrapText="1"/>
    </xf>
    <xf numFmtId="0" fontId="1" fillId="0" borderId="11" xfId="2" applyFont="1" applyBorder="1" applyAlignment="1">
      <alignment horizontal="center" vertical="center" wrapText="1"/>
    </xf>
    <xf numFmtId="0" fontId="3" fillId="0" borderId="16" xfId="2" applyBorder="1" applyAlignment="1">
      <alignment horizontal="center" vertical="center" wrapText="1"/>
    </xf>
    <xf numFmtId="2" fontId="3" fillId="0" borderId="41" xfId="2" applyNumberFormat="1" applyBorder="1" applyAlignment="1">
      <alignment horizontal="center" vertical="center" wrapText="1"/>
    </xf>
    <xf numFmtId="2" fontId="3" fillId="0" borderId="17" xfId="2" applyNumberFormat="1" applyBorder="1" applyAlignment="1">
      <alignment horizontal="center" vertical="center" wrapText="1"/>
    </xf>
    <xf numFmtId="0" fontId="3" fillId="0" borderId="41" xfId="2" applyBorder="1" applyAlignment="1">
      <alignment horizontal="center" vertical="center" wrapText="1"/>
    </xf>
    <xf numFmtId="0" fontId="3" fillId="0" borderId="17" xfId="2" applyBorder="1" applyAlignment="1">
      <alignment vertical="center" wrapText="1"/>
    </xf>
    <xf numFmtId="0" fontId="3" fillId="0" borderId="0" xfId="2" applyAlignment="1">
      <alignment horizontal="center" vertical="center" wrapText="1"/>
    </xf>
    <xf numFmtId="0" fontId="3" fillId="0" borderId="8" xfId="2" applyBorder="1" applyAlignment="1">
      <alignment horizontal="center" vertical="center" wrapText="1"/>
    </xf>
    <xf numFmtId="2" fontId="3" fillId="0" borderId="8" xfId="2" applyNumberFormat="1" applyBorder="1" applyAlignment="1">
      <alignment horizontal="center" vertical="center" wrapText="1"/>
    </xf>
    <xf numFmtId="0" fontId="3" fillId="0" borderId="9" xfId="2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20" fillId="3" borderId="1" xfId="0" applyFont="1" applyFill="1" applyBorder="1" applyAlignment="1" applyProtection="1">
      <alignment horizontal="center"/>
      <protection locked="0"/>
    </xf>
    <xf numFmtId="164" fontId="20" fillId="3" borderId="1" xfId="1" applyFont="1" applyFill="1" applyBorder="1" applyAlignment="1" applyProtection="1">
      <alignment horizontal="center"/>
      <protection locked="0"/>
    </xf>
    <xf numFmtId="166" fontId="20" fillId="3" borderId="1" xfId="3" applyNumberFormat="1" applyFont="1" applyFill="1" applyBorder="1" applyAlignment="1" applyProtection="1">
      <alignment horizontal="center"/>
      <protection locked="0"/>
    </xf>
    <xf numFmtId="164" fontId="20" fillId="3" borderId="30" xfId="1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0" xfId="0" applyFont="1" applyProtection="1">
      <protection locked="0"/>
    </xf>
    <xf numFmtId="0" fontId="22" fillId="3" borderId="1" xfId="0" applyFont="1" applyFill="1" applyBorder="1" applyAlignment="1" applyProtection="1">
      <alignment horizontal="center" vertical="center"/>
      <protection locked="0"/>
    </xf>
    <xf numFmtId="0" fontId="20" fillId="3" borderId="1" xfId="0" applyFont="1" applyFill="1" applyBorder="1" applyProtection="1">
      <protection locked="0"/>
    </xf>
    <xf numFmtId="0" fontId="20" fillId="3" borderId="0" xfId="0" applyFont="1" applyFill="1" applyProtection="1">
      <protection locked="0"/>
    </xf>
    <xf numFmtId="0" fontId="20" fillId="3" borderId="0" xfId="0" applyFont="1" applyFill="1" applyAlignment="1" applyProtection="1">
      <alignment horizontal="center"/>
      <protection locked="0"/>
    </xf>
    <xf numFmtId="164" fontId="20" fillId="3" borderId="0" xfId="1" applyFont="1" applyFill="1" applyBorder="1" applyProtection="1">
      <protection locked="0"/>
    </xf>
    <xf numFmtId="9" fontId="23" fillId="3" borderId="0" xfId="3" applyFont="1" applyFill="1" applyBorder="1" applyProtection="1">
      <protection locked="0"/>
    </xf>
    <xf numFmtId="164" fontId="20" fillId="3" borderId="0" xfId="0" applyNumberFormat="1" applyFont="1" applyFill="1" applyProtection="1">
      <protection locked="0"/>
    </xf>
    <xf numFmtId="0" fontId="20" fillId="7" borderId="0" xfId="0" applyFont="1" applyFill="1" applyAlignment="1" applyProtection="1">
      <alignment horizontal="center"/>
      <protection locked="0"/>
    </xf>
    <xf numFmtId="164" fontId="20" fillId="7" borderId="0" xfId="1" applyFont="1" applyFill="1" applyBorder="1" applyProtection="1">
      <protection locked="0"/>
    </xf>
    <xf numFmtId="9" fontId="23" fillId="7" borderId="0" xfId="3" applyFont="1" applyFill="1" applyBorder="1" applyProtection="1">
      <protection locked="0"/>
    </xf>
    <xf numFmtId="0" fontId="22" fillId="3" borderId="39" xfId="0" applyFont="1" applyFill="1" applyBorder="1" applyAlignment="1" applyProtection="1">
      <alignment vertical="center"/>
      <protection locked="0"/>
    </xf>
    <xf numFmtId="0" fontId="24" fillId="3" borderId="30" xfId="0" applyFont="1" applyFill="1" applyBorder="1" applyAlignment="1" applyProtection="1">
      <alignment horizontal="center" vertical="center"/>
      <protection locked="0"/>
    </xf>
    <xf numFmtId="0" fontId="21" fillId="8" borderId="0" xfId="0" applyFont="1" applyFill="1" applyAlignment="1" applyProtection="1">
      <alignment horizontal="center"/>
      <protection locked="0"/>
    </xf>
    <xf numFmtId="164" fontId="21" fillId="8" borderId="0" xfId="1" applyFont="1" applyFill="1" applyBorder="1" applyProtection="1">
      <protection locked="0"/>
    </xf>
    <xf numFmtId="9" fontId="23" fillId="8" borderId="0" xfId="3" applyFont="1" applyFill="1" applyBorder="1" applyProtection="1">
      <protection locked="0"/>
    </xf>
    <xf numFmtId="0" fontId="20" fillId="7" borderId="0" xfId="0" applyFont="1" applyFill="1" applyProtection="1">
      <protection locked="0"/>
    </xf>
    <xf numFmtId="14" fontId="30" fillId="3" borderId="0" xfId="2" applyNumberFormat="1" applyFont="1" applyFill="1" applyAlignment="1">
      <alignment horizontal="center" vertical="center"/>
    </xf>
    <xf numFmtId="0" fontId="31" fillId="3" borderId="0" xfId="2" applyFont="1" applyFill="1"/>
    <xf numFmtId="166" fontId="20" fillId="3" borderId="0" xfId="3" applyNumberFormat="1" applyFont="1" applyFill="1" applyBorder="1" applyAlignment="1" applyProtection="1">
      <alignment horizontal="center"/>
    </xf>
    <xf numFmtId="0" fontId="20" fillId="3" borderId="0" xfId="0" applyFont="1" applyFill="1" applyAlignment="1">
      <alignment horizontal="center"/>
    </xf>
    <xf numFmtId="166" fontId="31" fillId="3" borderId="0" xfId="2" applyNumberFormat="1" applyFont="1" applyFill="1" applyAlignment="1">
      <alignment horizontal="center"/>
    </xf>
    <xf numFmtId="0" fontId="31" fillId="3" borderId="0" xfId="2" applyFont="1" applyFill="1" applyAlignment="1">
      <alignment horizontal="center"/>
    </xf>
    <xf numFmtId="14" fontId="28" fillId="3" borderId="0" xfId="0" applyNumberFormat="1" applyFont="1" applyFill="1" applyAlignment="1">
      <alignment horizontal="left" vertical="center" wrapText="1"/>
    </xf>
    <xf numFmtId="0" fontId="29" fillId="9" borderId="0" xfId="2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3" borderId="39" xfId="0" applyFont="1" applyFill="1" applyBorder="1" applyAlignment="1" applyProtection="1">
      <alignment horizontal="center" vertical="center"/>
      <protection locked="0"/>
    </xf>
    <xf numFmtId="0" fontId="22" fillId="3" borderId="42" xfId="0" applyFont="1" applyFill="1" applyBorder="1" applyAlignment="1" applyProtection="1">
      <alignment horizontal="center" vertical="center"/>
      <protection locked="0"/>
    </xf>
    <xf numFmtId="0" fontId="22" fillId="3" borderId="38" xfId="0" applyFont="1" applyFill="1" applyBorder="1" applyAlignment="1" applyProtection="1">
      <alignment vertical="center"/>
      <protection locked="0"/>
    </xf>
    <xf numFmtId="0" fontId="22" fillId="3" borderId="42" xfId="0" applyFont="1" applyFill="1" applyBorder="1" applyAlignment="1" applyProtection="1">
      <alignment vertical="center"/>
      <protection locked="0"/>
    </xf>
    <xf numFmtId="164" fontId="20" fillId="3" borderId="3" xfId="1" applyFont="1" applyFill="1" applyBorder="1" applyAlignment="1" applyProtection="1">
      <alignment horizontal="center"/>
      <protection locked="0"/>
    </xf>
    <xf numFmtId="164" fontId="21" fillId="3" borderId="30" xfId="1" applyFont="1" applyFill="1" applyBorder="1" applyAlignment="1" applyProtection="1">
      <alignment horizontal="center"/>
      <protection locked="0"/>
    </xf>
    <xf numFmtId="0" fontId="33" fillId="3" borderId="57" xfId="0" applyFont="1" applyFill="1" applyBorder="1" applyAlignment="1" applyProtection="1">
      <alignment horizontal="center"/>
      <protection locked="0"/>
    </xf>
    <xf numFmtId="0" fontId="21" fillId="3" borderId="1" xfId="0" applyFont="1" applyFill="1" applyBorder="1" applyAlignment="1" applyProtection="1">
      <alignment horizontal="center"/>
      <protection locked="0"/>
    </xf>
    <xf numFmtId="14" fontId="21" fillId="8" borderId="1" xfId="0" applyNumberFormat="1" applyFont="1" applyFill="1" applyBorder="1" applyAlignment="1" applyProtection="1">
      <alignment horizontal="center"/>
      <protection locked="0"/>
    </xf>
    <xf numFmtId="1" fontId="21" fillId="3" borderId="1" xfId="0" applyNumberFormat="1" applyFont="1" applyFill="1" applyBorder="1" applyAlignment="1" applyProtection="1">
      <alignment horizontal="center"/>
      <protection locked="0"/>
    </xf>
    <xf numFmtId="14" fontId="21" fillId="3" borderId="1" xfId="0" applyNumberFormat="1" applyFont="1" applyFill="1" applyBorder="1" applyAlignment="1" applyProtection="1">
      <alignment horizontal="center"/>
      <protection locked="0"/>
    </xf>
    <xf numFmtId="164" fontId="20" fillId="3" borderId="1" xfId="1" applyFont="1" applyFill="1" applyBorder="1" applyAlignment="1" applyProtection="1">
      <alignment horizontal="left"/>
      <protection locked="0"/>
    </xf>
    <xf numFmtId="0" fontId="25" fillId="3" borderId="0" xfId="2" applyFont="1" applyFill="1" applyAlignment="1">
      <alignment horizontal="left" vertical="top"/>
    </xf>
    <xf numFmtId="14" fontId="30" fillId="3" borderId="0" xfId="2" applyNumberFormat="1" applyFont="1" applyFill="1" applyAlignment="1">
      <alignment horizontal="left" vertical="center"/>
    </xf>
    <xf numFmtId="0" fontId="22" fillId="3" borderId="1" xfId="0" applyFont="1" applyFill="1" applyBorder="1" applyAlignment="1" applyProtection="1">
      <alignment horizontal="center"/>
      <protection locked="0"/>
    </xf>
    <xf numFmtId="0" fontId="20" fillId="3" borderId="1" xfId="0" applyFont="1" applyFill="1" applyBorder="1" applyAlignment="1" applyProtection="1">
      <alignment horizontal="center"/>
      <protection locked="0"/>
    </xf>
    <xf numFmtId="0" fontId="21" fillId="3" borderId="0" xfId="0" applyFont="1" applyFill="1" applyAlignment="1" applyProtection="1">
      <alignment horizontal="center"/>
      <protection locked="0"/>
    </xf>
    <xf numFmtId="0" fontId="20" fillId="3" borderId="56" xfId="0" applyFont="1" applyFill="1" applyBorder="1" applyAlignment="1" applyProtection="1">
      <alignment horizontal="center"/>
      <protection locked="0"/>
    </xf>
    <xf numFmtId="0" fontId="26" fillId="3" borderId="0" xfId="2" applyFont="1" applyFill="1" applyAlignment="1">
      <alignment horizontal="left" vertical="top"/>
    </xf>
    <xf numFmtId="0" fontId="29" fillId="9" borderId="0" xfId="2" applyFont="1" applyFill="1" applyAlignment="1">
      <alignment horizontal="center"/>
    </xf>
    <xf numFmtId="14" fontId="32" fillId="3" borderId="0" xfId="0" applyNumberFormat="1" applyFont="1" applyFill="1" applyAlignment="1">
      <alignment horizontal="left" vertical="center" wrapText="1"/>
    </xf>
    <xf numFmtId="164" fontId="22" fillId="3" borderId="0" xfId="1" applyFont="1" applyFill="1" applyBorder="1" applyAlignment="1" applyProtection="1">
      <alignment horizontal="center"/>
      <protection locked="0"/>
    </xf>
    <xf numFmtId="164" fontId="20" fillId="3" borderId="0" xfId="1" applyFont="1" applyFill="1" applyBorder="1" applyAlignment="1" applyProtection="1">
      <alignment horizontal="center"/>
      <protection locked="0"/>
    </xf>
    <xf numFmtId="164" fontId="20" fillId="7" borderId="0" xfId="1" applyFont="1" applyFill="1" applyBorder="1" applyAlignment="1" applyProtection="1">
      <alignment horizontal="center"/>
      <protection locked="0"/>
    </xf>
    <xf numFmtId="0" fontId="27" fillId="3" borderId="0" xfId="2" applyFont="1" applyFill="1" applyAlignment="1">
      <alignment horizontal="right"/>
    </xf>
    <xf numFmtId="164" fontId="21" fillId="8" borderId="0" xfId="1" applyFont="1" applyFill="1" applyBorder="1" applyAlignment="1" applyProtection="1">
      <alignment horizontal="center"/>
      <protection locked="0"/>
    </xf>
    <xf numFmtId="0" fontId="1" fillId="0" borderId="50" xfId="2" applyFont="1" applyBorder="1" applyAlignment="1">
      <alignment horizontal="center" vertical="center" wrapText="1"/>
    </xf>
    <xf numFmtId="0" fontId="1" fillId="0" borderId="51" xfId="2" applyFont="1" applyBorder="1" applyAlignment="1">
      <alignment horizontal="center" vertical="center" wrapText="1"/>
    </xf>
    <xf numFmtId="0" fontId="1" fillId="0" borderId="52" xfId="2" applyFont="1" applyBorder="1" applyAlignment="1">
      <alignment horizontal="center" vertical="center" wrapText="1"/>
    </xf>
    <xf numFmtId="0" fontId="1" fillId="0" borderId="53" xfId="2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4" fontId="2" fillId="2" borderId="31" xfId="0" applyNumberFormat="1" applyFont="1" applyFill="1" applyBorder="1" applyAlignment="1">
      <alignment horizontal="center" vertical="center" wrapText="1"/>
    </xf>
    <xf numFmtId="4" fontId="2" fillId="2" borderId="55" xfId="0" applyNumberFormat="1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</cellXfs>
  <cellStyles count="5">
    <cellStyle name="Moeda" xfId="1" builtinId="4"/>
    <cellStyle name="Normal" xfId="0" builtinId="0"/>
    <cellStyle name="Normal 2" xfId="2" xr:uid="{00000000-0005-0000-0000-000002000000}"/>
    <cellStyle name="Porcentagem" xfId="3" builtinId="5"/>
    <cellStyle name="Vírgula" xfId="4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autoPageBreaks="0" fitToPage="1"/>
  </sheetPr>
  <dimension ref="A1:L99"/>
  <sheetViews>
    <sheetView tabSelected="1" view="pageBreakPreview" topLeftCell="A6" zoomScale="85" zoomScaleNormal="118" zoomScaleSheetLayoutView="85" zoomScalePageLayoutView="90" workbookViewId="0">
      <selection activeCell="I17" sqref="I17"/>
    </sheetView>
  </sheetViews>
  <sheetFormatPr defaultColWidth="8.6640625" defaultRowHeight="15.6" x14ac:dyDescent="0.3"/>
  <cols>
    <col min="1" max="1" width="12.109375" style="113" customWidth="1"/>
    <col min="2" max="2" width="1.109375" style="113" customWidth="1"/>
    <col min="3" max="3" width="16.88671875" style="114" customWidth="1"/>
    <col min="4" max="4" width="16.33203125" style="114" customWidth="1"/>
    <col min="5" max="5" width="17.88671875" style="114" bestFit="1" customWidth="1"/>
    <col min="6" max="6" width="29.109375" style="114" bestFit="1" customWidth="1"/>
    <col min="7" max="7" width="24" style="114" customWidth="1"/>
    <col min="8" max="8" width="9" style="114" customWidth="1"/>
    <col min="9" max="9" width="25.109375" style="114" bestFit="1" customWidth="1"/>
    <col min="10" max="10" width="28.33203125" style="114" customWidth="1"/>
    <col min="11" max="11" width="25.109375" style="114" customWidth="1"/>
    <col min="12" max="12" width="24" style="114" customWidth="1"/>
    <col min="13" max="13" width="7.6640625" style="114" customWidth="1"/>
    <col min="14" max="14" width="25.109375" style="114" bestFit="1" customWidth="1"/>
    <col min="15" max="15" width="7.6640625" style="114" bestFit="1" customWidth="1"/>
    <col min="16" max="16" width="21.109375" style="114" bestFit="1" customWidth="1"/>
    <col min="17" max="17" width="7.88671875" style="114" bestFit="1" customWidth="1"/>
    <col min="18" max="32" width="7.88671875" style="114" customWidth="1"/>
    <col min="33" max="36" width="8.109375" style="114" bestFit="1" customWidth="1"/>
    <col min="37" max="61" width="7.88671875" style="114" bestFit="1" customWidth="1"/>
    <col min="62" max="69" width="8.88671875" style="114" bestFit="1" customWidth="1"/>
    <col min="70" max="84" width="8.88671875" style="114" customWidth="1"/>
    <col min="85" max="16384" width="8.6640625" style="114"/>
  </cols>
  <sheetData>
    <row r="1" spans="1:12" x14ac:dyDescent="0.3">
      <c r="A1" s="156" t="s">
        <v>2</v>
      </c>
      <c r="B1" s="156"/>
      <c r="C1" s="156"/>
      <c r="D1" s="156"/>
      <c r="E1" s="156"/>
      <c r="F1" s="156"/>
      <c r="G1" s="156"/>
      <c r="H1" s="156"/>
      <c r="I1" s="147" t="s">
        <v>56</v>
      </c>
      <c r="J1" s="117"/>
      <c r="K1" s="118"/>
      <c r="L1" s="117"/>
    </row>
    <row r="2" spans="1:12" x14ac:dyDescent="0.3">
      <c r="A2" s="154" t="s">
        <v>53</v>
      </c>
      <c r="B2" s="154"/>
      <c r="C2" s="115" t="s">
        <v>4</v>
      </c>
      <c r="D2" s="116"/>
      <c r="E2" s="115" t="s">
        <v>1</v>
      </c>
      <c r="F2" s="115" t="s">
        <v>13</v>
      </c>
      <c r="G2" s="115" t="s">
        <v>12</v>
      </c>
      <c r="H2" s="146" t="s">
        <v>55</v>
      </c>
      <c r="I2" s="148">
        <v>29159</v>
      </c>
      <c r="J2" s="117"/>
      <c r="K2" s="117"/>
      <c r="L2" s="117"/>
    </row>
    <row r="3" spans="1:12" x14ac:dyDescent="0.3">
      <c r="A3" s="155" t="s">
        <v>57</v>
      </c>
      <c r="B3" s="155" t="s">
        <v>54</v>
      </c>
      <c r="C3" s="109">
        <v>28</v>
      </c>
      <c r="D3" s="116">
        <v>64</v>
      </c>
      <c r="E3" s="110">
        <v>150000</v>
      </c>
      <c r="F3" s="151" t="s">
        <v>10</v>
      </c>
      <c r="G3" s="111">
        <v>5.5E-2</v>
      </c>
      <c r="H3" s="146" t="s">
        <v>40</v>
      </c>
      <c r="I3" s="150">
        <f ca="1">TODAY()</f>
        <v>46127</v>
      </c>
      <c r="J3" s="117"/>
      <c r="K3" s="117"/>
      <c r="L3" s="117"/>
    </row>
    <row r="4" spans="1:12" x14ac:dyDescent="0.3">
      <c r="A4" s="157"/>
      <c r="B4" s="157"/>
      <c r="C4" s="157"/>
      <c r="D4" s="157"/>
      <c r="E4" s="157"/>
      <c r="F4" s="157"/>
      <c r="G4" s="157"/>
      <c r="H4" s="157"/>
      <c r="I4" s="149">
        <f ca="1">INT((I3-I2))/365.25</f>
        <v>46.455852156057496</v>
      </c>
      <c r="J4" s="117"/>
      <c r="K4" s="117"/>
      <c r="L4" s="117"/>
    </row>
    <row r="5" spans="1:12" ht="18" x14ac:dyDescent="0.3">
      <c r="A5" s="152" t="s">
        <v>44</v>
      </c>
      <c r="B5" s="152"/>
      <c r="C5" s="152"/>
      <c r="D5" s="152"/>
      <c r="E5" s="152"/>
      <c r="F5" s="152"/>
      <c r="G5" s="152"/>
      <c r="H5" s="152"/>
      <c r="I5" s="117"/>
      <c r="J5" s="117"/>
      <c r="K5" s="117"/>
      <c r="L5" s="117"/>
    </row>
    <row r="6" spans="1:12" ht="18" x14ac:dyDescent="0.3">
      <c r="A6" s="158" t="s">
        <v>52</v>
      </c>
      <c r="B6" s="158"/>
      <c r="C6" s="158"/>
      <c r="D6" s="158"/>
      <c r="E6" s="158"/>
      <c r="F6" s="158" t="str">
        <f>A3</f>
        <v>Augusto Giani</v>
      </c>
      <c r="G6" s="158"/>
      <c r="H6" s="158"/>
      <c r="I6" s="117"/>
      <c r="J6" s="117"/>
      <c r="K6" s="117"/>
      <c r="L6" s="117"/>
    </row>
    <row r="7" spans="1:12" x14ac:dyDescent="0.3">
      <c r="A7" s="153" t="s">
        <v>45</v>
      </c>
      <c r="B7" s="153"/>
      <c r="C7" s="153"/>
      <c r="D7" s="153"/>
      <c r="E7" s="153"/>
      <c r="F7" s="153"/>
      <c r="G7" s="153"/>
      <c r="H7" s="153"/>
      <c r="I7" s="117"/>
      <c r="J7" s="117" t="s">
        <v>15</v>
      </c>
      <c r="K7" s="117"/>
      <c r="L7" s="117"/>
    </row>
    <row r="8" spans="1:12" x14ac:dyDescent="0.3">
      <c r="A8" s="131">
        <f ca="1">TODAY()</f>
        <v>46127</v>
      </c>
      <c r="B8" s="132"/>
      <c r="C8" s="132"/>
      <c r="D8" s="132"/>
      <c r="E8" s="132"/>
      <c r="F8" s="132"/>
      <c r="G8" s="133"/>
      <c r="H8" s="134"/>
      <c r="I8" s="117"/>
      <c r="J8" s="117"/>
      <c r="K8" s="117"/>
      <c r="L8" s="117"/>
    </row>
    <row r="9" spans="1:12" x14ac:dyDescent="0.3">
      <c r="A9" s="164" t="s">
        <v>49</v>
      </c>
      <c r="B9" s="164"/>
      <c r="C9" s="135">
        <f>G3</f>
        <v>5.5E-2</v>
      </c>
      <c r="D9" s="132" t="s">
        <v>50</v>
      </c>
      <c r="E9" s="132" t="s">
        <v>50</v>
      </c>
      <c r="F9" s="132"/>
      <c r="G9" s="133"/>
      <c r="H9" s="134"/>
      <c r="I9" s="117"/>
      <c r="J9" s="117"/>
      <c r="K9" s="117"/>
      <c r="L9" s="117"/>
    </row>
    <row r="10" spans="1:12" ht="41.25" customHeight="1" x14ac:dyDescent="0.3">
      <c r="A10" s="160" t="s">
        <v>46</v>
      </c>
      <c r="B10" s="160"/>
      <c r="C10" s="160"/>
      <c r="D10" s="160"/>
      <c r="E10" s="160"/>
      <c r="F10" s="160"/>
      <c r="G10" s="160"/>
      <c r="H10" s="160"/>
      <c r="I10" s="117"/>
      <c r="J10" s="117"/>
      <c r="K10" s="117"/>
      <c r="L10" s="117"/>
    </row>
    <row r="11" spans="1:12" x14ac:dyDescent="0.3">
      <c r="A11" s="164" t="s">
        <v>48</v>
      </c>
      <c r="B11" s="164"/>
      <c r="C11" s="136">
        <f>C3</f>
        <v>28</v>
      </c>
      <c r="D11" s="132" t="s">
        <v>51</v>
      </c>
      <c r="E11" s="132" t="s">
        <v>51</v>
      </c>
      <c r="F11" s="132"/>
      <c r="G11" s="133"/>
      <c r="H11" s="134"/>
      <c r="I11" s="117"/>
      <c r="J11" s="117"/>
      <c r="K11" s="117"/>
      <c r="L11" s="117"/>
    </row>
    <row r="12" spans="1:12" ht="5.25" customHeight="1" thickBot="1" x14ac:dyDescent="0.35">
      <c r="A12" s="137"/>
      <c r="B12" s="137"/>
      <c r="C12" s="137"/>
      <c r="D12" s="137"/>
      <c r="E12" s="137"/>
      <c r="F12" s="137"/>
      <c r="G12" s="133"/>
      <c r="H12" s="134"/>
      <c r="I12" s="117"/>
      <c r="J12" s="117"/>
      <c r="K12" s="117"/>
      <c r="L12" s="117"/>
    </row>
    <row r="13" spans="1:12" s="113" customFormat="1" ht="16.2" thickBot="1" x14ac:dyDescent="0.35">
      <c r="A13" s="138" t="s">
        <v>0</v>
      </c>
      <c r="B13" s="159" t="s">
        <v>1</v>
      </c>
      <c r="C13" s="159"/>
      <c r="D13" s="139" t="str">
        <f>IF(H3="Anual","Aporte Anual","Aporte Mensal")</f>
        <v>Aporte Mensal</v>
      </c>
      <c r="E13" s="138" t="s">
        <v>41</v>
      </c>
      <c r="F13" s="138" t="s">
        <v>14</v>
      </c>
      <c r="G13" s="159" t="s">
        <v>47</v>
      </c>
      <c r="H13" s="159"/>
      <c r="I13" s="118"/>
      <c r="J13" s="140" t="s">
        <v>16</v>
      </c>
      <c r="K13" s="141" t="s">
        <v>42</v>
      </c>
      <c r="L13" s="142"/>
    </row>
    <row r="14" spans="1:12" ht="16.2" thickBot="1" x14ac:dyDescent="0.35">
      <c r="A14" s="118">
        <f>C3+1</f>
        <v>29</v>
      </c>
      <c r="B14" s="162">
        <f>IFERROR(IF(A14="","",$E$3),"")</f>
        <v>150000</v>
      </c>
      <c r="C14" s="162"/>
      <c r="D14" s="119">
        <f>IF(H3="Anual",IF(J8=0,IF(F3="Masculino",Simulações!E7,Simulações!G7),J8),IF(J8=0,IF(F3="Masculino",Simulações!E9,Simulações!G9),J8))</f>
        <v>469.82357100000002</v>
      </c>
      <c r="E14" s="119">
        <f>D14*12*0.97352</f>
        <v>5488.5917140790407</v>
      </c>
      <c r="F14" s="119">
        <f>E14</f>
        <v>5488.5917140790407</v>
      </c>
      <c r="G14" s="119">
        <f>IFERROR(IF($F$3="Masculino",B14*(HLOOKUP($C$3,Resgate!$E$1:$BD$87,Resgate!D2,FALSE)),B14*(HLOOKUP($C$3,Resgate!$BF$1:$DE$87,Resgate!D2,FALSE))),"")</f>
        <v>0</v>
      </c>
      <c r="H14" s="120">
        <f>G14/F14</f>
        <v>0</v>
      </c>
      <c r="I14" s="121"/>
      <c r="J14" s="112">
        <v>0</v>
      </c>
      <c r="K14" s="112"/>
      <c r="L14" s="112" t="str">
        <f>IF(J14=0,"",IF(OR(J14&gt;1000000,J14&lt;160000,),"CS ñ Permitido",IF(J14&gt;E3,"CS ñ Permitido",IF(H3="Anual",Simulações!K10,Simulações!K12))))</f>
        <v/>
      </c>
    </row>
    <row r="15" spans="1:12" ht="16.2" thickBot="1" x14ac:dyDescent="0.35">
      <c r="A15" s="122">
        <f t="shared" ref="A15:A46" si="0">IF(A14="","",IF(A14+1&gt;100,"",A14+1))</f>
        <v>30</v>
      </c>
      <c r="B15" s="163">
        <f t="shared" ref="B15:B46" si="1">IFERROR(IF(A15="","",B14)*(1+$G$3),"")</f>
        <v>158250</v>
      </c>
      <c r="C15" s="163"/>
      <c r="D15" s="123">
        <f t="shared" ref="D15:D23" si="2">D14*(1+$G$3)</f>
        <v>495.66386740499996</v>
      </c>
      <c r="E15" s="123">
        <f t="shared" ref="E15:E23" si="3">D15*12*0.97352</f>
        <v>5790.4642583533869</v>
      </c>
      <c r="F15" s="123">
        <f>F14+E15</f>
        <v>11279.055972432427</v>
      </c>
      <c r="G15" s="123">
        <f>IFERROR(IF($F$3="Masculino",B15*(HLOOKUP($C$3,Resgate!$E$1:$BD$87,Resgate!D3,FALSE)),B15*(HLOOKUP($C$3,Resgate!$BF$1:$DE$87,Resgate!D3,FALSE))),"")</f>
        <v>0</v>
      </c>
      <c r="H15" s="124">
        <f t="shared" ref="H15:H22" si="4">G15/F15</f>
        <v>0</v>
      </c>
      <c r="I15" s="121"/>
      <c r="J15" s="125" t="s">
        <v>19</v>
      </c>
      <c r="K15" s="143"/>
      <c r="L15" s="142"/>
    </row>
    <row r="16" spans="1:12" ht="16.2" thickBot="1" x14ac:dyDescent="0.35">
      <c r="A16" s="118">
        <f t="shared" si="0"/>
        <v>31</v>
      </c>
      <c r="B16" s="162">
        <f t="shared" si="1"/>
        <v>166953.75</v>
      </c>
      <c r="C16" s="162"/>
      <c r="D16" s="119">
        <f t="shared" si="2"/>
        <v>522.92538011227498</v>
      </c>
      <c r="E16" s="119">
        <f t="shared" si="3"/>
        <v>6108.9397925628236</v>
      </c>
      <c r="F16" s="119">
        <f>F15+E16</f>
        <v>17387.995764995248</v>
      </c>
      <c r="G16" s="119">
        <f>IFERROR(IF($F$3="Masculino",B16*(HLOOKUP($C$3,Resgate!$E$1:$BD$87,Resgate!D4,FALSE)),B16*(HLOOKUP($C$3,Resgate!$BF$1:$DE$87,Resgate!D4,FALSE))),"")</f>
        <v>2500.9671750000002</v>
      </c>
      <c r="H16" s="120">
        <f t="shared" si="4"/>
        <v>0.14383297585307891</v>
      </c>
      <c r="I16" s="121"/>
      <c r="J16" s="112">
        <v>200000</v>
      </c>
      <c r="K16" s="112" t="e">
        <f>(L16*12)*0.97352</f>
        <v>#VALUE!</v>
      </c>
      <c r="L16" s="144" t="str">
        <f>IF(J16=0,"",IF(OR(J16&gt;1000000,J16&lt;160000,),"CS ñ Permitido",IF(J16&gt;E3,"CS ñ Permitido",IF(H3="Anual",Simulações!Y10,Simulações!Y12))))</f>
        <v>CS ñ Permitido</v>
      </c>
    </row>
    <row r="17" spans="1:12" ht="16.2" thickBot="1" x14ac:dyDescent="0.35">
      <c r="A17" s="122">
        <f t="shared" si="0"/>
        <v>32</v>
      </c>
      <c r="B17" s="163">
        <f t="shared" si="1"/>
        <v>176136.20624999999</v>
      </c>
      <c r="C17" s="163"/>
      <c r="D17" s="123">
        <f t="shared" si="2"/>
        <v>551.68627601845003</v>
      </c>
      <c r="E17" s="123">
        <f t="shared" si="3"/>
        <v>6444.9314811537788</v>
      </c>
      <c r="F17" s="123">
        <f t="shared" ref="F17:F22" si="5">F16+E17</f>
        <v>23832.927246149025</v>
      </c>
      <c r="G17" s="123">
        <f>IFERROR(IF($F$3="Masculino",B17*(HLOOKUP($C$3,Resgate!$E$1:$BD$87,Resgate!D5,FALSE)),B17*(HLOOKUP($C$3,Resgate!$BF$1:$DE$87,Resgate!D5,FALSE))),"")</f>
        <v>6668.5167686249988</v>
      </c>
      <c r="H17" s="124">
        <f t="shared" si="4"/>
        <v>0.2798026738281808</v>
      </c>
      <c r="I17" s="121"/>
      <c r="J17" s="125" t="s">
        <v>28</v>
      </c>
      <c r="K17" s="143"/>
      <c r="L17" s="142"/>
    </row>
    <row r="18" spans="1:12" ht="16.2" thickBot="1" x14ac:dyDescent="0.35">
      <c r="A18" s="118">
        <f t="shared" si="0"/>
        <v>33</v>
      </c>
      <c r="B18" s="162">
        <f t="shared" si="1"/>
        <v>185823.69759374997</v>
      </c>
      <c r="C18" s="162"/>
      <c r="D18" s="119">
        <f t="shared" si="2"/>
        <v>582.02902119946475</v>
      </c>
      <c r="E18" s="119">
        <f t="shared" si="3"/>
        <v>6799.402712617235</v>
      </c>
      <c r="F18" s="119">
        <f t="shared" si="5"/>
        <v>30632.329958766262</v>
      </c>
      <c r="G18" s="119">
        <f>IFERROR(IF($F$3="Masculino",B18*(HLOOKUP($C$3,Resgate!$E$1:$BD$87,Resgate!D6,FALSE)),B18*(HLOOKUP($C$3,Resgate!$BF$1:$DE$87,Resgate!D6,FALSE))),"")</f>
        <v>14353.022402141249</v>
      </c>
      <c r="H18" s="120">
        <f t="shared" si="4"/>
        <v>0.4685579719682324</v>
      </c>
      <c r="I18" s="121"/>
      <c r="J18" s="112">
        <v>200000</v>
      </c>
      <c r="K18" s="112" t="e">
        <f>(L18*12)*0.97352</f>
        <v>#VALUE!</v>
      </c>
      <c r="L18" s="144" t="e">
        <f>IF(J18=0,"",IF(OR(J18&gt;1000000,J18&lt;160000),"CS ñ Permitido",IF(H3="Anual",IF(J8=0,IF(F3="Masculino",Simulações!AB7,Simulações!AD7),J8),IF(J8=0,IF(F3="Masculino",Simulações!AB9,Simulações!AD9),J8))))</f>
        <v>#VALUE!</v>
      </c>
    </row>
    <row r="19" spans="1:12" ht="16.2" thickBot="1" x14ac:dyDescent="0.35">
      <c r="A19" s="122">
        <f t="shared" si="0"/>
        <v>34</v>
      </c>
      <c r="B19" s="163">
        <f t="shared" si="1"/>
        <v>196044.00096140621</v>
      </c>
      <c r="C19" s="163"/>
      <c r="D19" s="123">
        <f t="shared" si="2"/>
        <v>614.04061736543531</v>
      </c>
      <c r="E19" s="123">
        <f t="shared" si="3"/>
        <v>7173.369861811183</v>
      </c>
      <c r="F19" s="123">
        <f t="shared" si="5"/>
        <v>37805.699820577443</v>
      </c>
      <c r="G19" s="123">
        <f>IFERROR(IF($F$3="Masculino",B19*(HLOOKUP($C$3,Resgate!$E$1:$BD$87,Resgate!D7,FALSE)),B19*(HLOOKUP($C$3,Resgate!$BF$1:$DE$87,Resgate!D7,FALSE))),"")</f>
        <v>22554.862310609784</v>
      </c>
      <c r="H19" s="124">
        <f t="shared" si="4"/>
        <v>0.59659951852903648</v>
      </c>
      <c r="I19" s="121"/>
      <c r="J19" s="125" t="s">
        <v>17</v>
      </c>
      <c r="K19" s="143"/>
      <c r="L19" s="142"/>
    </row>
    <row r="20" spans="1:12" ht="16.2" thickBot="1" x14ac:dyDescent="0.35">
      <c r="A20" s="118">
        <f t="shared" si="0"/>
        <v>35</v>
      </c>
      <c r="B20" s="162">
        <f t="shared" si="1"/>
        <v>206826.42101428355</v>
      </c>
      <c r="C20" s="162"/>
      <c r="D20" s="119">
        <f t="shared" si="2"/>
        <v>647.81285132053426</v>
      </c>
      <c r="E20" s="119">
        <f t="shared" si="3"/>
        <v>7567.9052042107987</v>
      </c>
      <c r="F20" s="119">
        <f t="shared" si="5"/>
        <v>45373.605024788245</v>
      </c>
      <c r="G20" s="119">
        <f>IFERROR(IF($F$3="Masculino",B20*(HLOOKUP($C$3,Resgate!$E$1:$BD$87,Resgate!D8,FALSE)),B20*(HLOOKUP($C$3,Resgate!$BF$1:$DE$87,Resgate!D8,FALSE))),"")</f>
        <v>33317.668161190937</v>
      </c>
      <c r="H20" s="120">
        <f t="shared" si="4"/>
        <v>0.73429625314076374</v>
      </c>
      <c r="I20" s="121"/>
      <c r="J20" s="112">
        <v>1000</v>
      </c>
      <c r="K20" s="112">
        <f>(L20*12)*0.97352</f>
        <v>591.02227860480002</v>
      </c>
      <c r="L20" s="112">
        <f>IF(J20=0,"",IF(J20&lt;300,"Mínimo 300,00",IF(H3="Anual",Simulações!U7,Simulações!U9)))</f>
        <v>50.591520000000003</v>
      </c>
    </row>
    <row r="21" spans="1:12" ht="16.2" thickBot="1" x14ac:dyDescent="0.35">
      <c r="A21" s="122">
        <f t="shared" si="0"/>
        <v>36</v>
      </c>
      <c r="B21" s="163">
        <f t="shared" si="1"/>
        <v>218201.87417006915</v>
      </c>
      <c r="C21" s="163"/>
      <c r="D21" s="123">
        <f t="shared" si="2"/>
        <v>683.44255814316364</v>
      </c>
      <c r="E21" s="123">
        <f t="shared" si="3"/>
        <v>7984.1399904423915</v>
      </c>
      <c r="F21" s="123">
        <f t="shared" si="5"/>
        <v>53357.745015230634</v>
      </c>
      <c r="G21" s="123">
        <f>IFERROR(IF($F$3="Masculino",B21*(HLOOKUP($C$3,Resgate!$E$1:$BD$87,Resgate!D9,FALSE)),B21*(HLOOKUP($C$3,Resgate!$BF$1:$DE$87,Resgate!D9,FALSE))),"")</f>
        <v>47072.69031470902</v>
      </c>
      <c r="H21" s="124">
        <f t="shared" si="4"/>
        <v>0.88220913948429447</v>
      </c>
      <c r="I21" s="121"/>
      <c r="J21" s="126" t="s">
        <v>21</v>
      </c>
      <c r="K21" s="126" t="e">
        <f>K20+K18+K16+K14</f>
        <v>#VALUE!</v>
      </c>
      <c r="L21" s="145" t="e">
        <f>SUM(L14,L16,L20,L18)</f>
        <v>#VALUE!</v>
      </c>
    </row>
    <row r="22" spans="1:12" ht="16.2" thickBot="1" x14ac:dyDescent="0.35">
      <c r="A22" s="118">
        <f t="shared" si="0"/>
        <v>37</v>
      </c>
      <c r="B22" s="162">
        <f t="shared" si="1"/>
        <v>230202.97724942293</v>
      </c>
      <c r="C22" s="162"/>
      <c r="D22" s="119">
        <f t="shared" si="2"/>
        <v>721.03189884103756</v>
      </c>
      <c r="E22" s="119">
        <f t="shared" si="3"/>
        <v>8423.2676899167218</v>
      </c>
      <c r="F22" s="119">
        <f t="shared" si="5"/>
        <v>61781.012705147354</v>
      </c>
      <c r="G22" s="119">
        <f>IFERROR(IF($F$3="Masculino",B22*(HLOOKUP($C$3,Resgate!$E$1:$BD$87,Resgate!D10,FALSE)),B22*(HLOOKUP($C$3,Resgate!$BF$1:$DE$87,Resgate!D10,FALSE))),"")</f>
        <v>64304.899664853794</v>
      </c>
      <c r="H22" s="120">
        <f t="shared" si="4"/>
        <v>1.0408521461399767</v>
      </c>
      <c r="I22" s="121"/>
      <c r="J22" s="117"/>
      <c r="K22" s="117"/>
      <c r="L22" s="117"/>
    </row>
    <row r="23" spans="1:12" ht="16.2" thickBot="1" x14ac:dyDescent="0.35">
      <c r="A23" s="127">
        <f t="shared" si="0"/>
        <v>38</v>
      </c>
      <c r="B23" s="165">
        <f t="shared" si="1"/>
        <v>242864.14099814117</v>
      </c>
      <c r="C23" s="165"/>
      <c r="D23" s="128">
        <f t="shared" si="2"/>
        <v>760.68865327729463</v>
      </c>
      <c r="E23" s="128">
        <f t="shared" si="3"/>
        <v>8886.5474128621427</v>
      </c>
      <c r="F23" s="128">
        <f>F22+E23</f>
        <v>70667.560118009496</v>
      </c>
      <c r="G23" s="128">
        <f>IFERROR(IF($F$3="Masculino",B23*(HLOOKUP($C$3,Resgate!$E$1:$BD$87,Resgate!D11,FALSE)),B23*(HLOOKUP($C$3,Resgate!$BF$1:$DE$87,Resgate!D11,FALSE))),"")</f>
        <v>90066.166689160658</v>
      </c>
      <c r="H23" s="129">
        <f>G23/$F$23</f>
        <v>1.2745051129366425</v>
      </c>
      <c r="I23" s="121"/>
      <c r="J23" s="126" t="str">
        <f>IF(H3="Anual","Total Anual","Total Mensal")</f>
        <v>Total Mensal</v>
      </c>
      <c r="K23" s="145" t="e">
        <f>K21+E14</f>
        <v>#VALUE!</v>
      </c>
      <c r="L23" s="145" t="e">
        <f>L21+D14</f>
        <v>#VALUE!</v>
      </c>
    </row>
    <row r="24" spans="1:12" x14ac:dyDescent="0.3">
      <c r="A24" s="118">
        <f t="shared" si="0"/>
        <v>39</v>
      </c>
      <c r="B24" s="162">
        <f t="shared" si="1"/>
        <v>256221.66875303892</v>
      </c>
      <c r="C24" s="162"/>
      <c r="D24" s="119"/>
      <c r="E24" s="161" t="s">
        <v>43</v>
      </c>
      <c r="F24" s="161"/>
      <c r="G24" s="119">
        <f>IFERROR(IF($F$3="Masculino",B24*(HLOOKUP($C$3,Resgate!$E$1:$BD$87,Resgate!D12,FALSE)),B24*(HLOOKUP($C$3,Resgate!$BF$1:$DE$87,Resgate!D12,FALSE))),"")</f>
        <v>97443.662843468221</v>
      </c>
      <c r="H24" s="120">
        <f>G24/$F$23</f>
        <v>1.3789023235094668</v>
      </c>
      <c r="I24" s="121"/>
      <c r="J24" s="117" t="s">
        <v>23</v>
      </c>
      <c r="K24" s="117"/>
      <c r="L24" s="117"/>
    </row>
    <row r="25" spans="1:12" x14ac:dyDescent="0.3">
      <c r="A25" s="122">
        <f t="shared" si="0"/>
        <v>40</v>
      </c>
      <c r="B25" s="163">
        <f t="shared" si="1"/>
        <v>270313.86053445603</v>
      </c>
      <c r="C25" s="163"/>
      <c r="D25" s="123"/>
      <c r="E25" s="130"/>
      <c r="F25" s="130"/>
      <c r="G25" s="123">
        <f>IFERROR(IF($F$3="Masculino",B25*(HLOOKUP($C$3,Resgate!$E$1:$BD$87,Resgate!D13,FALSE)),B25*(HLOOKUP($C$3,Resgate!$BF$1:$DE$87,Resgate!D13,FALSE))),"")</f>
        <v>105408.88991541114</v>
      </c>
      <c r="H25" s="124">
        <f t="shared" ref="H25:H88" si="6">G25/$F$23</f>
        <v>1.4916163758786385</v>
      </c>
      <c r="I25" s="121"/>
      <c r="J25" s="117"/>
      <c r="K25" s="117"/>
      <c r="L25" s="117"/>
    </row>
    <row r="26" spans="1:12" x14ac:dyDescent="0.3">
      <c r="A26" s="118">
        <f t="shared" si="0"/>
        <v>41</v>
      </c>
      <c r="B26" s="162">
        <f t="shared" si="1"/>
        <v>285181.12286385108</v>
      </c>
      <c r="C26" s="162"/>
      <c r="D26" s="119" t="s">
        <v>22</v>
      </c>
      <c r="E26" s="117"/>
      <c r="F26" s="117"/>
      <c r="G26" s="119">
        <f>IFERROR(IF($F$3="Masculino",B26*(HLOOKUP($C$3,Resgate!$E$1:$BD$87,Resgate!D14,FALSE)),B26*(HLOOKUP($C$3,Resgate!$BF$1:$DE$87,Resgate!D14,FALSE))),"")</f>
        <v>114004.00567605314</v>
      </c>
      <c r="H26" s="120">
        <f t="shared" si="6"/>
        <v>1.6132438347337172</v>
      </c>
      <c r="I26" s="121"/>
      <c r="J26" s="117"/>
      <c r="K26" s="117"/>
      <c r="L26" s="117"/>
    </row>
    <row r="27" spans="1:12" x14ac:dyDescent="0.3">
      <c r="A27" s="122">
        <f t="shared" si="0"/>
        <v>42</v>
      </c>
      <c r="B27" s="163">
        <f t="shared" si="1"/>
        <v>300866.08462136285</v>
      </c>
      <c r="C27" s="163"/>
      <c r="D27" s="123"/>
      <c r="E27" s="130"/>
      <c r="F27" s="130"/>
      <c r="G27" s="123">
        <f>IFERROR(IF($F$3="Masculino",B27*(HLOOKUP($C$3,Resgate!$E$1:$BD$87,Resgate!D15,FALSE)),B27*(HLOOKUP($C$3,Resgate!$BF$1:$DE$87,Resgate!D15,FALSE))),"")</f>
        <v>123276.86951275724</v>
      </c>
      <c r="H27" s="124">
        <f t="shared" si="6"/>
        <v>1.7444619469937008</v>
      </c>
      <c r="I27" s="121"/>
      <c r="J27" s="117"/>
      <c r="K27" s="117"/>
      <c r="L27" s="117"/>
    </row>
    <row r="28" spans="1:12" x14ac:dyDescent="0.3">
      <c r="A28" s="118">
        <f t="shared" si="0"/>
        <v>43</v>
      </c>
      <c r="B28" s="162">
        <f t="shared" si="1"/>
        <v>317413.71927553782</v>
      </c>
      <c r="C28" s="162"/>
      <c r="D28" s="119"/>
      <c r="E28" s="117"/>
      <c r="F28" s="117"/>
      <c r="G28" s="119">
        <f>IFERROR(IF($F$3="Masculino",B28*(HLOOKUP($C$3,Resgate!$E$1:$BD$87,Resgate!D16,FALSE)),B28*(HLOOKUP($C$3,Resgate!$BF$1:$DE$87,Resgate!D16,FALSE))),"")</f>
        <v>133275.67244941287</v>
      </c>
      <c r="H28" s="120">
        <f t="shared" si="6"/>
        <v>1.8859526524879668</v>
      </c>
      <c r="I28" s="121"/>
      <c r="J28" s="117"/>
      <c r="K28" s="117"/>
      <c r="L28" s="117"/>
    </row>
    <row r="29" spans="1:12" x14ac:dyDescent="0.3">
      <c r="A29" s="122">
        <f t="shared" si="0"/>
        <v>44</v>
      </c>
      <c r="B29" s="163">
        <f t="shared" si="1"/>
        <v>334871.47383569239</v>
      </c>
      <c r="C29" s="163"/>
      <c r="D29" s="123"/>
      <c r="E29" s="130"/>
      <c r="F29" s="130"/>
      <c r="G29" s="123">
        <f>IFERROR(IF($F$3="Masculino",B29*(HLOOKUP($C$3,Resgate!$E$1:$BD$87,Resgate!D17,FALSE)),B29*(HLOOKUP($C$3,Resgate!$BF$1:$DE$87,Resgate!D17,FALSE))),"")</f>
        <v>144055.01061463819</v>
      </c>
      <c r="H29" s="124">
        <f t="shared" si="6"/>
        <v>2.0384885281744154</v>
      </c>
      <c r="I29" s="121"/>
      <c r="J29" s="117"/>
      <c r="K29" s="117"/>
      <c r="L29" s="117"/>
    </row>
    <row r="30" spans="1:12" x14ac:dyDescent="0.3">
      <c r="A30" s="118">
        <f t="shared" si="0"/>
        <v>45</v>
      </c>
      <c r="B30" s="162">
        <f t="shared" si="1"/>
        <v>353289.40489665547</v>
      </c>
      <c r="C30" s="162"/>
      <c r="D30" s="119"/>
      <c r="E30" s="117"/>
      <c r="F30" s="117"/>
      <c r="G30" s="119">
        <f>IFERROR(IF($F$3="Masculino",B30*(HLOOKUP($C$3,Resgate!$E$1:$BD$87,Resgate!D18,FALSE)),B30*(HLOOKUP($C$3,Resgate!$BF$1:$DE$87,Resgate!D18,FALSE))),"")</f>
        <v>155673.44337366233</v>
      </c>
      <c r="H30" s="120">
        <f t="shared" si="6"/>
        <v>2.2028982338388281</v>
      </c>
      <c r="I30" s="121"/>
      <c r="J30" s="117"/>
      <c r="K30" s="117"/>
      <c r="L30" s="117"/>
    </row>
    <row r="31" spans="1:12" x14ac:dyDescent="0.3">
      <c r="A31" s="122">
        <f t="shared" si="0"/>
        <v>46</v>
      </c>
      <c r="B31" s="163">
        <f t="shared" si="1"/>
        <v>372720.32216597151</v>
      </c>
      <c r="C31" s="163"/>
      <c r="D31" s="123"/>
      <c r="E31" s="130"/>
      <c r="F31" s="130"/>
      <c r="G31" s="123">
        <f>IFERROR(IF($F$3="Masculino",B31*(HLOOKUP($C$3,Resgate!$E$1:$BD$87,Resgate!D19,FALSE)),B31*(HLOOKUP($C$3,Resgate!$BF$1:$DE$87,Resgate!D19,FALSE))),"")</f>
        <v>168193.77258061635</v>
      </c>
      <c r="H31" s="124">
        <f t="shared" si="6"/>
        <v>2.3800704637282712</v>
      </c>
      <c r="I31" s="121"/>
      <c r="J31" s="117"/>
      <c r="K31" s="117"/>
      <c r="L31" s="117"/>
    </row>
    <row r="32" spans="1:12" x14ac:dyDescent="0.3">
      <c r="A32" s="118">
        <f t="shared" si="0"/>
        <v>47</v>
      </c>
      <c r="B32" s="162">
        <f t="shared" si="1"/>
        <v>393219.93988509994</v>
      </c>
      <c r="C32" s="162"/>
      <c r="D32" s="119"/>
      <c r="E32" s="117"/>
      <c r="F32" s="117"/>
      <c r="G32" s="119">
        <f>IFERROR(IF($F$3="Masculino",B32*(HLOOKUP($C$3,Resgate!$E$1:$BD$87,Resgate!D20,FALSE)),B32*(HLOOKUP($C$3,Resgate!$BF$1:$DE$87,Resgate!D20,FALSE))),"")</f>
        <v>181683.34102451161</v>
      </c>
      <c r="H32" s="120">
        <f t="shared" si="6"/>
        <v>2.5709581697898458</v>
      </c>
      <c r="I32" s="121"/>
      <c r="J32" s="117"/>
      <c r="K32" s="117"/>
      <c r="L32" s="117"/>
    </row>
    <row r="33" spans="1:12" x14ac:dyDescent="0.3">
      <c r="A33" s="122">
        <f t="shared" si="0"/>
        <v>48</v>
      </c>
      <c r="B33" s="163">
        <f t="shared" si="1"/>
        <v>414847.03657878039</v>
      </c>
      <c r="C33" s="163"/>
      <c r="D33" s="123"/>
      <c r="E33" s="130"/>
      <c r="F33" s="130"/>
      <c r="G33" s="123">
        <f>IFERROR(IF($F$3="Masculino",B33*(HLOOKUP($C$3,Resgate!$E$1:$BD$87,Resgate!D21,FALSE)),B33*(HLOOKUP($C$3,Resgate!$BF$1:$DE$87,Resgate!D21,FALSE))),"")</f>
        <v>196218.49983139738</v>
      </c>
      <c r="H33" s="124">
        <f t="shared" si="6"/>
        <v>2.7766417788264839</v>
      </c>
      <c r="I33" s="121"/>
      <c r="J33" s="117"/>
      <c r="K33" s="117"/>
      <c r="L33" s="117"/>
    </row>
    <row r="34" spans="1:12" x14ac:dyDescent="0.3">
      <c r="A34" s="118">
        <f t="shared" si="0"/>
        <v>49</v>
      </c>
      <c r="B34" s="162">
        <f t="shared" si="1"/>
        <v>437663.62359061331</v>
      </c>
      <c r="C34" s="162"/>
      <c r="D34" s="119"/>
      <c r="E34" s="117"/>
      <c r="F34" s="117"/>
      <c r="G34" s="119">
        <f>IFERROR(IF($F$3="Masculino",B34*(HLOOKUP($C$3,Resgate!$E$1:$BD$87,Resgate!D22,FALSE)),B34*(HLOOKUP($C$3,Resgate!$BF$1:$DE$87,Resgate!D22,FALSE))),"")</f>
        <v>211872.96018021597</v>
      </c>
      <c r="H34" s="120">
        <f t="shared" si="6"/>
        <v>2.9981643603713515</v>
      </c>
      <c r="I34" s="121"/>
      <c r="J34" s="117"/>
      <c r="K34" s="117"/>
      <c r="L34" s="117"/>
    </row>
    <row r="35" spans="1:12" x14ac:dyDescent="0.3">
      <c r="A35" s="122">
        <f t="shared" si="0"/>
        <v>50</v>
      </c>
      <c r="B35" s="163">
        <f t="shared" si="1"/>
        <v>461735.12288809702</v>
      </c>
      <c r="C35" s="163"/>
      <c r="D35" s="123"/>
      <c r="E35" s="130"/>
      <c r="F35" s="130"/>
      <c r="G35" s="123">
        <f>IFERROR(IF($F$3="Masculino",B35*(HLOOKUP($C$3,Resgate!$E$1:$BD$87,Resgate!D23,FALSE)),B35*(HLOOKUP($C$3,Resgate!$BF$1:$DE$87,Resgate!D23,FALSE))),"")</f>
        <v>228725.11047384783</v>
      </c>
      <c r="H35" s="124">
        <f t="shared" si="6"/>
        <v>3.23663517025201</v>
      </c>
      <c r="I35" s="121"/>
      <c r="J35" s="117"/>
      <c r="K35" s="117"/>
      <c r="L35" s="117"/>
    </row>
    <row r="36" spans="1:12" x14ac:dyDescent="0.3">
      <c r="A36" s="118">
        <f t="shared" si="0"/>
        <v>51</v>
      </c>
      <c r="B36" s="162">
        <f t="shared" si="1"/>
        <v>487130.5546469423</v>
      </c>
      <c r="C36" s="162"/>
      <c r="D36" s="119"/>
      <c r="E36" s="117"/>
      <c r="F36" s="117"/>
      <c r="G36" s="119">
        <f>IFERROR(IF($F$3="Masculino",B36*(HLOOKUP($C$3,Resgate!$E$1:$BD$87,Resgate!D24,FALSE)),B36*(HLOOKUP($C$3,Resgate!$BF$1:$DE$87,Resgate!D24,FALSE))),"")</f>
        <v>246863.15117843103</v>
      </c>
      <c r="H36" s="120">
        <f t="shared" si="6"/>
        <v>3.4933023124922973</v>
      </c>
      <c r="I36" s="121"/>
      <c r="J36" s="121"/>
      <c r="K36" s="121"/>
      <c r="L36" s="121"/>
    </row>
    <row r="37" spans="1:12" x14ac:dyDescent="0.3">
      <c r="A37" s="122">
        <f t="shared" si="0"/>
        <v>52</v>
      </c>
      <c r="B37" s="163">
        <f t="shared" si="1"/>
        <v>513922.73515252408</v>
      </c>
      <c r="C37" s="163"/>
      <c r="D37" s="123"/>
      <c r="E37" s="130"/>
      <c r="F37" s="130"/>
      <c r="G37" s="123">
        <f>IFERROR(IF($F$3="Masculino",B37*(HLOOKUP($C$3,Resgate!$E$1:$BD$87,Resgate!D25,FALSE)),B37*(HLOOKUP($C$3,Resgate!$BF$1:$DE$87,Resgate!D25,FALSE))),"")</f>
        <v>266366.15362955333</v>
      </c>
      <c r="H37" s="124">
        <f t="shared" si="6"/>
        <v>3.7692847069396755</v>
      </c>
      <c r="I37" s="121"/>
      <c r="J37" s="121"/>
      <c r="K37" s="121"/>
      <c r="L37" s="121"/>
    </row>
    <row r="38" spans="1:12" x14ac:dyDescent="0.3">
      <c r="A38" s="118">
        <f t="shared" si="0"/>
        <v>53</v>
      </c>
      <c r="B38" s="162">
        <f t="shared" si="1"/>
        <v>542188.48558591283</v>
      </c>
      <c r="C38" s="162"/>
      <c r="D38" s="119"/>
      <c r="E38" s="117"/>
      <c r="F38" s="117"/>
      <c r="G38" s="119">
        <f>IFERROR(IF($F$3="Masculino",B38*(HLOOKUP($C$3,Resgate!$E$1:$BD$87,Resgate!D26,FALSE)),B38*(HLOOKUP($C$3,Resgate!$BF$1:$DE$87,Resgate!D26,FALSE))),"")</f>
        <v>287321.9441665429</v>
      </c>
      <c r="H38" s="120">
        <f t="shared" si="6"/>
        <v>4.0658251634376077</v>
      </c>
      <c r="I38" s="121"/>
      <c r="J38" s="117"/>
      <c r="K38" s="117"/>
      <c r="L38" s="117"/>
    </row>
    <row r="39" spans="1:12" x14ac:dyDescent="0.3">
      <c r="A39" s="122">
        <f t="shared" si="0"/>
        <v>54</v>
      </c>
      <c r="B39" s="163">
        <f t="shared" si="1"/>
        <v>572008.85229313804</v>
      </c>
      <c r="C39" s="163"/>
      <c r="D39" s="123"/>
      <c r="E39" s="130"/>
      <c r="F39" s="130"/>
      <c r="G39" s="123">
        <f>IFERROR(IF($F$3="Masculino",B39*(HLOOKUP($C$3,Resgate!$E$1:$BD$87,Resgate!D27,FALSE)),B39*(HLOOKUP($C$3,Resgate!$BF$1:$DE$87,Resgate!D27,FALSE))),"")</f>
        <v>309828.59484457824</v>
      </c>
      <c r="H39" s="124">
        <f t="shared" si="6"/>
        <v>4.3843114765415399</v>
      </c>
      <c r="I39" s="121"/>
      <c r="J39" s="117"/>
      <c r="K39" s="117"/>
      <c r="L39" s="117"/>
    </row>
    <row r="40" spans="1:12" x14ac:dyDescent="0.3">
      <c r="A40" s="118">
        <f t="shared" si="0"/>
        <v>55</v>
      </c>
      <c r="B40" s="162">
        <f t="shared" si="1"/>
        <v>603469.33916926058</v>
      </c>
      <c r="C40" s="162"/>
      <c r="D40" s="119"/>
      <c r="E40" s="117"/>
      <c r="F40" s="117"/>
      <c r="G40" s="119">
        <f>IFERROR(IF($F$3="Masculino",B40*(HLOOKUP($C$3,Resgate!$E$1:$BD$87,Resgate!D28,FALSE)),B40*(HLOOKUP($C$3,Resgate!$BF$1:$DE$87,Resgate!D28,FALSE))),"")</f>
        <v>333978.03637644392</v>
      </c>
      <c r="H40" s="120">
        <f t="shared" si="6"/>
        <v>4.7260445361170778</v>
      </c>
      <c r="I40" s="121"/>
      <c r="J40" s="117"/>
      <c r="K40" s="117"/>
      <c r="L40" s="117"/>
    </row>
    <row r="41" spans="1:12" x14ac:dyDescent="0.3">
      <c r="A41" s="122">
        <f t="shared" si="0"/>
        <v>56</v>
      </c>
      <c r="B41" s="163">
        <f t="shared" si="1"/>
        <v>636660.15282356984</v>
      </c>
      <c r="C41" s="163"/>
      <c r="D41" s="123"/>
      <c r="E41" s="130"/>
      <c r="F41" s="130"/>
      <c r="G41" s="123">
        <f>IFERROR(IF($F$3="Masculino",B41*(HLOOKUP($C$3,Resgate!$E$1:$BD$87,Resgate!D29,FALSE)),B41*(HLOOKUP($C$3,Resgate!$BF$1:$DE$87,Resgate!D29,FALSE))),"")</f>
        <v>359878.51798505115</v>
      </c>
      <c r="H41" s="124">
        <f t="shared" si="6"/>
        <v>5.092556151423385</v>
      </c>
      <c r="I41" s="121"/>
      <c r="J41" s="117"/>
      <c r="K41" s="117"/>
      <c r="L41" s="117"/>
    </row>
    <row r="42" spans="1:12" x14ac:dyDescent="0.3">
      <c r="A42" s="118">
        <f t="shared" si="0"/>
        <v>57</v>
      </c>
      <c r="B42" s="162">
        <f t="shared" si="1"/>
        <v>671676.46122886613</v>
      </c>
      <c r="C42" s="162"/>
      <c r="D42" s="119"/>
      <c r="E42" s="117"/>
      <c r="F42" s="117"/>
      <c r="G42" s="119">
        <f>IFERROR(IF($F$3="Masculino",B42*(HLOOKUP($C$3,Resgate!$E$1:$BD$87,Resgate!D30,FALSE)),B42*(HLOOKUP($C$3,Resgate!$BF$1:$DE$87,Resgate!D30,FALSE))),"")</f>
        <v>387664.78636285244</v>
      </c>
      <c r="H42" s="120">
        <f t="shared" si="6"/>
        <v>5.4857530911705661</v>
      </c>
      <c r="I42" s="121"/>
      <c r="J42" s="117"/>
      <c r="K42" s="117"/>
      <c r="L42" s="117"/>
    </row>
    <row r="43" spans="1:12" x14ac:dyDescent="0.3">
      <c r="A43" s="122">
        <f t="shared" si="0"/>
        <v>58</v>
      </c>
      <c r="B43" s="163">
        <f t="shared" si="1"/>
        <v>708618.66659645375</v>
      </c>
      <c r="C43" s="163"/>
      <c r="D43" s="123"/>
      <c r="E43" s="130"/>
      <c r="F43" s="130"/>
      <c r="G43" s="123">
        <f>IFERROR(IF($F$3="Masculino",B43*(HLOOKUP($C$3,Resgate!$E$1:$BD$87,Resgate!D31,FALSE)),B43*(HLOOKUP($C$3,Resgate!$BF$1:$DE$87,Resgate!D31,FALSE))),"")</f>
        <v>417461.42886530299</v>
      </c>
      <c r="H43" s="124">
        <f t="shared" si="6"/>
        <v>5.9073983616835486</v>
      </c>
      <c r="I43" s="121"/>
      <c r="J43" s="117"/>
      <c r="K43" s="117"/>
      <c r="L43" s="117"/>
    </row>
    <row r="44" spans="1:12" x14ac:dyDescent="0.3">
      <c r="A44" s="118">
        <f t="shared" si="0"/>
        <v>59</v>
      </c>
      <c r="B44" s="162">
        <f t="shared" si="1"/>
        <v>747592.69325925864</v>
      </c>
      <c r="C44" s="162"/>
      <c r="D44" s="119"/>
      <c r="E44" s="117"/>
      <c r="F44" s="117"/>
      <c r="G44" s="119">
        <f>IFERROR(IF($F$3="Masculino",B44*(HLOOKUP($C$3,Resgate!$E$1:$BD$87,Resgate!D32,FALSE)),B44*(HLOOKUP($C$3,Resgate!$BF$1:$DE$87,Resgate!D32,FALSE))),"")</f>
        <v>449407.87162587093</v>
      </c>
      <c r="H44" s="120">
        <f t="shared" si="6"/>
        <v>6.3594649493401736</v>
      </c>
      <c r="I44" s="121"/>
      <c r="J44" s="117"/>
      <c r="K44" s="117"/>
      <c r="L44" s="117"/>
    </row>
    <row r="45" spans="1:12" x14ac:dyDescent="0.3">
      <c r="A45" s="122">
        <f t="shared" si="0"/>
        <v>60</v>
      </c>
      <c r="B45" s="163">
        <f t="shared" si="1"/>
        <v>788710.29138851783</v>
      </c>
      <c r="C45" s="163"/>
      <c r="D45" s="123"/>
      <c r="E45" s="130"/>
      <c r="F45" s="130"/>
      <c r="G45" s="123">
        <f>IFERROR(IF($F$3="Masculino",B45*(HLOOKUP($C$3,Resgate!$E$1:$BD$87,Resgate!D33,FALSE)),B45*(HLOOKUP($C$3,Resgate!$BF$1:$DE$87,Resgate!D33,FALSE))),"")</f>
        <v>483637.15067943919</v>
      </c>
      <c r="H45" s="124">
        <f t="shared" si="6"/>
        <v>6.8438354157381633</v>
      </c>
      <c r="I45" s="121"/>
      <c r="J45" s="117"/>
      <c r="K45" s="117"/>
      <c r="L45" s="117"/>
    </row>
    <row r="46" spans="1:12" x14ac:dyDescent="0.3">
      <c r="A46" s="118">
        <f t="shared" si="0"/>
        <v>61</v>
      </c>
      <c r="B46" s="162">
        <f t="shared" si="1"/>
        <v>832089.35741488624</v>
      </c>
      <c r="C46" s="162"/>
      <c r="D46" s="119"/>
      <c r="E46" s="117"/>
      <c r="F46" s="117"/>
      <c r="G46" s="119">
        <f>IFERROR(IF($F$3="Masculino",B46*(HLOOKUP($C$3,Resgate!$E$1:$BD$87,Resgate!D34,FALSE)),B46*(HLOOKUP($C$3,Resgate!$BF$1:$DE$87,Resgate!D34,FALSE))),"")</f>
        <v>520313.79608510272</v>
      </c>
      <c r="H46" s="120">
        <f t="shared" si="6"/>
        <v>7.3628379869945686</v>
      </c>
      <c r="I46" s="121"/>
      <c r="J46" s="117"/>
      <c r="K46" s="117"/>
      <c r="L46" s="117"/>
    </row>
    <row r="47" spans="1:12" x14ac:dyDescent="0.3">
      <c r="A47" s="122">
        <f t="shared" ref="A47:A79" si="7">IF(A46="","",IF(A46+1&gt;100,"",A46+1))</f>
        <v>62</v>
      </c>
      <c r="B47" s="163">
        <f t="shared" ref="B47:B78" si="8">IFERROR(IF(A47="","",B46)*(1+$G$3),"")</f>
        <v>877854.27207270497</v>
      </c>
      <c r="C47" s="163"/>
      <c r="D47" s="123"/>
      <c r="E47" s="130"/>
      <c r="F47" s="130"/>
      <c r="G47" s="123">
        <f>IFERROR(IF($F$3="Masculino",B47*(HLOOKUP($C$3,Resgate!$E$1:$BD$87,Resgate!D35,FALSE)),B47*(HLOOKUP($C$3,Resgate!$BF$1:$DE$87,Resgate!D35,FALSE))),"")</f>
        <v>559553.09156186297</v>
      </c>
      <c r="H47" s="124">
        <f t="shared" si="6"/>
        <v>7.9181040158659997</v>
      </c>
      <c r="I47" s="121"/>
      <c r="J47" s="117"/>
      <c r="K47" s="117"/>
      <c r="L47" s="117"/>
    </row>
    <row r="48" spans="1:12" x14ac:dyDescent="0.3">
      <c r="A48" s="118">
        <f t="shared" si="7"/>
        <v>63</v>
      </c>
      <c r="B48" s="162">
        <f t="shared" si="8"/>
        <v>926136.25703670364</v>
      </c>
      <c r="C48" s="162"/>
      <c r="D48" s="119"/>
      <c r="E48" s="117"/>
      <c r="F48" s="117"/>
      <c r="G48" s="119">
        <f>IFERROR(IF($F$3="Masculino",B48*(HLOOKUP($C$3,Resgate!$E$1:$BD$87,Resgate!D36,FALSE)),B48*(HLOOKUP($C$3,Resgate!$BF$1:$DE$87,Resgate!D36,FALSE))),"")</f>
        <v>601506.97622019832</v>
      </c>
      <c r="H48" s="120">
        <f t="shared" si="6"/>
        <v>8.5117835569209834</v>
      </c>
      <c r="I48" s="121"/>
      <c r="J48" s="117"/>
      <c r="K48" s="117"/>
      <c r="L48" s="117"/>
    </row>
    <row r="49" spans="1:12" x14ac:dyDescent="0.3">
      <c r="A49" s="122">
        <f t="shared" si="7"/>
        <v>64</v>
      </c>
      <c r="B49" s="163">
        <f t="shared" si="8"/>
        <v>977073.75117372232</v>
      </c>
      <c r="C49" s="163"/>
      <c r="D49" s="123"/>
      <c r="E49" s="130"/>
      <c r="F49" s="130"/>
      <c r="G49" s="123">
        <f>IFERROR(IF($F$3="Masculino",B49*(HLOOKUP($C$3,Resgate!$E$1:$BD$87,Resgate!D37,FALSE)),B49*(HLOOKUP($C$3,Resgate!$BF$1:$DE$87,Resgate!D37,FALSE))),"")</f>
        <v>646314.74492639396</v>
      </c>
      <c r="H49" s="124">
        <f t="shared" si="6"/>
        <v>9.1458477390063706</v>
      </c>
      <c r="I49" s="121"/>
      <c r="J49" s="117"/>
      <c r="K49" s="117"/>
      <c r="L49" s="117"/>
    </row>
    <row r="50" spans="1:12" x14ac:dyDescent="0.3">
      <c r="A50" s="118">
        <f t="shared" si="7"/>
        <v>65</v>
      </c>
      <c r="B50" s="162">
        <f t="shared" si="8"/>
        <v>1030812.807488277</v>
      </c>
      <c r="C50" s="162"/>
      <c r="D50" s="119"/>
      <c r="E50" s="117"/>
      <c r="F50" s="117"/>
      <c r="G50" s="119">
        <f>IFERROR(IF($F$3="Masculino",B50*(HLOOKUP($C$3,Resgate!$E$1:$BD$87,Resgate!D38,FALSE)),B50*(HLOOKUP($C$3,Resgate!$BF$1:$DE$87,Resgate!D38,FALSE))),"")</f>
        <v>694149.34456260595</v>
      </c>
      <c r="H50" s="120">
        <f t="shared" si="6"/>
        <v>9.8227438927200676</v>
      </c>
      <c r="I50" s="121"/>
      <c r="J50" s="121"/>
      <c r="K50" s="121"/>
      <c r="L50" s="121"/>
    </row>
    <row r="51" spans="1:12" x14ac:dyDescent="0.3">
      <c r="A51" s="122">
        <f t="shared" si="7"/>
        <v>66</v>
      </c>
      <c r="B51" s="163">
        <f t="shared" si="8"/>
        <v>1087507.5119001321</v>
      </c>
      <c r="C51" s="163"/>
      <c r="D51" s="123"/>
      <c r="E51" s="130"/>
      <c r="F51" s="130"/>
      <c r="G51" s="123">
        <f>IFERROR(IF($F$3="Masculino",B51*(HLOOKUP($C$3,Resgate!$E$1:$BD$87,Resgate!D39,FALSE)),B51*(HLOOKUP($C$3,Resgate!$BF$1:$DE$87,Resgate!D39,FALSE))),"")</f>
        <v>745181.89730420883</v>
      </c>
      <c r="H51" s="124">
        <f t="shared" si="6"/>
        <v>10.544893527664055</v>
      </c>
      <c r="I51" s="121"/>
      <c r="J51" s="121"/>
      <c r="K51" s="121"/>
      <c r="L51" s="121"/>
    </row>
    <row r="52" spans="1:12" x14ac:dyDescent="0.3">
      <c r="A52" s="118">
        <f t="shared" si="7"/>
        <v>67</v>
      </c>
      <c r="B52" s="162">
        <f t="shared" si="8"/>
        <v>1147320.4250546393</v>
      </c>
      <c r="C52" s="162"/>
      <c r="D52" s="119"/>
      <c r="E52" s="117"/>
      <c r="F52" s="117"/>
      <c r="G52" s="119">
        <f>IFERROR(IF($F$3="Masculino",B52*(HLOOKUP($C$3,Resgate!$E$1:$BD$87,Resgate!D40,FALSE)),B52*(HLOOKUP($C$3,Resgate!$BF$1:$DE$87,Resgate!D40,FALSE))),"")</f>
        <v>799624.97024183115</v>
      </c>
      <c r="H52" s="120">
        <f t="shared" si="6"/>
        <v>11.315304630675204</v>
      </c>
      <c r="I52" s="121"/>
      <c r="J52" s="121"/>
      <c r="K52" s="121"/>
      <c r="L52" s="121"/>
    </row>
    <row r="53" spans="1:12" x14ac:dyDescent="0.3">
      <c r="A53" s="122">
        <f t="shared" si="7"/>
        <v>68</v>
      </c>
      <c r="B53" s="163">
        <f t="shared" si="8"/>
        <v>1210423.0484326445</v>
      </c>
      <c r="C53" s="163"/>
      <c r="D53" s="123"/>
      <c r="E53" s="130"/>
      <c r="F53" s="130"/>
      <c r="G53" s="123">
        <f>IFERROR(IF($F$3="Masculino",B53*(HLOOKUP($C$3,Resgate!$E$1:$BD$87,Resgate!D41,FALSE)),B53*(HLOOKUP($C$3,Resgate!$BF$1:$DE$87,Resgate!D41,FALSE))),"")</f>
        <v>857705.77211937227</v>
      </c>
      <c r="H53" s="124">
        <f t="shared" si="6"/>
        <v>12.137192379177494</v>
      </c>
      <c r="I53" s="121"/>
      <c r="J53" s="121"/>
      <c r="K53" s="121"/>
      <c r="L53" s="121"/>
    </row>
    <row r="54" spans="1:12" x14ac:dyDescent="0.3">
      <c r="A54" s="118">
        <f t="shared" si="7"/>
        <v>69</v>
      </c>
      <c r="B54" s="162">
        <f t="shared" si="8"/>
        <v>1276996.3160964397</v>
      </c>
      <c r="C54" s="162"/>
      <c r="D54" s="119"/>
      <c r="E54" s="117"/>
      <c r="F54" s="117"/>
      <c r="G54" s="119">
        <f>IFERROR(IF($F$3="Masculino",B54*(HLOOKUP($C$3,Resgate!$E$1:$BD$87,Resgate!D42,FALSE)),B54*(HLOOKUP($C$3,Resgate!$BF$1:$DE$87,Resgate!D42,FALSE))),"")</f>
        <v>919641.66700001247</v>
      </c>
      <c r="H54" s="120">
        <f t="shared" si="6"/>
        <v>13.013632640836619</v>
      </c>
      <c r="I54" s="121"/>
      <c r="J54" s="121"/>
      <c r="K54" s="121"/>
      <c r="L54" s="121"/>
    </row>
    <row r="55" spans="1:12" x14ac:dyDescent="0.3">
      <c r="A55" s="122">
        <f t="shared" si="7"/>
        <v>70</v>
      </c>
      <c r="B55" s="163">
        <f t="shared" si="8"/>
        <v>1347231.1134817437</v>
      </c>
      <c r="C55" s="163"/>
      <c r="D55" s="123"/>
      <c r="E55" s="130"/>
      <c r="F55" s="130"/>
      <c r="G55" s="123">
        <f>IFERROR(IF($F$3="Masculino",B55*(HLOOKUP($C$3,Resgate!$E$1:$BD$87,Resgate!D43,FALSE)),B55*(HLOOKUP($C$3,Resgate!$BF$1:$DE$87,Resgate!D43,FALSE))),"")</f>
        <v>985661.2272455137</v>
      </c>
      <c r="H55" s="124">
        <f t="shared" si="6"/>
        <v>13.947859889311783</v>
      </c>
      <c r="I55" s="121"/>
      <c r="J55" s="121"/>
      <c r="K55" s="121"/>
      <c r="L55" s="121"/>
    </row>
    <row r="56" spans="1:12" x14ac:dyDescent="0.3">
      <c r="A56" s="118">
        <f t="shared" si="7"/>
        <v>71</v>
      </c>
      <c r="B56" s="162">
        <f t="shared" si="8"/>
        <v>1421328.8247232395</v>
      </c>
      <c r="C56" s="162"/>
      <c r="D56" s="119"/>
      <c r="E56" s="117"/>
      <c r="F56" s="117"/>
      <c r="G56" s="119">
        <f>IFERROR(IF($F$3="Masculino",B56*(HLOOKUP($C$3,Resgate!$E$1:$BD$87,Resgate!D44,FALSE)),B56*(HLOOKUP($C$3,Resgate!$BF$1:$DE$87,Resgate!D44,FALSE))),"")</f>
        <v>1055947.8237516365</v>
      </c>
      <c r="H56" s="120">
        <f t="shared" si="6"/>
        <v>14.942468962962401</v>
      </c>
      <c r="I56" s="121"/>
      <c r="J56" s="121"/>
      <c r="K56" s="121"/>
      <c r="L56" s="121"/>
    </row>
    <row r="57" spans="1:12" x14ac:dyDescent="0.3">
      <c r="A57" s="122">
        <f t="shared" si="7"/>
        <v>72</v>
      </c>
      <c r="B57" s="163">
        <f t="shared" si="8"/>
        <v>1499501.9100830175</v>
      </c>
      <c r="C57" s="163"/>
      <c r="D57" s="123"/>
      <c r="E57" s="130"/>
      <c r="F57" s="130"/>
      <c r="G57" s="123">
        <f>IFERROR(IF($F$3="Masculino",B57*(HLOOKUP($C$3,Resgate!$E$1:$BD$87,Resgate!D45,FALSE)),B57*(HLOOKUP($C$3,Resgate!$BF$1:$DE$87,Resgate!D45,FALSE))),"")</f>
        <v>1130699.4152980999</v>
      </c>
      <c r="H57" s="124">
        <f t="shared" si="6"/>
        <v>16.000261129858128</v>
      </c>
      <c r="I57" s="121"/>
      <c r="J57" s="121"/>
      <c r="K57" s="121"/>
      <c r="L57" s="121"/>
    </row>
    <row r="58" spans="1:12" x14ac:dyDescent="0.3">
      <c r="A58" s="118">
        <f t="shared" si="7"/>
        <v>73</v>
      </c>
      <c r="B58" s="162">
        <f t="shared" si="8"/>
        <v>1581974.5151375835</v>
      </c>
      <c r="C58" s="162"/>
      <c r="D58" s="119"/>
      <c r="E58" s="117"/>
      <c r="F58" s="117"/>
      <c r="G58" s="119">
        <f>IFERROR(IF($F$3="Masculino",B58*(HLOOKUP($C$3,Resgate!$E$1:$BD$87,Resgate!D46,FALSE)),B58*(HLOOKUP($C$3,Resgate!$BF$1:$DE$87,Resgate!D46,FALSE))),"")</f>
        <v>1210036.486883587</v>
      </c>
      <c r="H58" s="120">
        <f t="shared" si="6"/>
        <v>17.122941344839376</v>
      </c>
      <c r="I58" s="121"/>
      <c r="J58" s="121"/>
      <c r="K58" s="121"/>
      <c r="L58" s="121"/>
    </row>
    <row r="59" spans="1:12" x14ac:dyDescent="0.3">
      <c r="A59" s="122">
        <f t="shared" si="7"/>
        <v>74</v>
      </c>
      <c r="B59" s="163">
        <f t="shared" si="8"/>
        <v>1668983.1134701504</v>
      </c>
      <c r="C59" s="163"/>
      <c r="D59" s="123"/>
      <c r="E59" s="130"/>
      <c r="F59" s="130"/>
      <c r="G59" s="123">
        <f>IFERROR(IF($F$3="Masculino",B59*(HLOOKUP($C$3,Resgate!$E$1:$BD$87,Resgate!D47,FALSE)),B59*(HLOOKUP($C$3,Resgate!$BF$1:$DE$87,Resgate!D47,FALSE))),"")</f>
        <v>1294146.1960158902</v>
      </c>
      <c r="H59" s="124">
        <f t="shared" si="6"/>
        <v>18.313158029720618</v>
      </c>
      <c r="I59" s="121"/>
      <c r="J59" s="121"/>
      <c r="K59" s="121"/>
      <c r="L59" s="121"/>
    </row>
    <row r="60" spans="1:12" x14ac:dyDescent="0.3">
      <c r="A60" s="118">
        <f t="shared" si="7"/>
        <v>75</v>
      </c>
      <c r="B60" s="162">
        <f t="shared" si="8"/>
        <v>1760777.1847110086</v>
      </c>
      <c r="C60" s="162"/>
      <c r="D60" s="119"/>
      <c r="E60" s="117"/>
      <c r="F60" s="117"/>
      <c r="G60" s="119">
        <f>IFERROR(IF($F$3="Masculino",B60*(HLOOKUP($C$3,Resgate!$E$1:$BD$87,Resgate!D48,FALSE)),B60*(HLOOKUP($C$3,Resgate!$BF$1:$DE$87,Resgate!D48,FALSE))),"")</f>
        <v>1383213.7329934277</v>
      </c>
      <c r="H60" s="120">
        <f t="shared" si="6"/>
        <v>19.573531768799786</v>
      </c>
      <c r="I60" s="121"/>
      <c r="J60" s="121"/>
      <c r="K60" s="121"/>
      <c r="L60" s="121"/>
    </row>
    <row r="61" spans="1:12" x14ac:dyDescent="0.3">
      <c r="A61" s="122">
        <f t="shared" si="7"/>
        <v>76</v>
      </c>
      <c r="B61" s="163">
        <f t="shared" si="8"/>
        <v>1857619.929870114</v>
      </c>
      <c r="C61" s="163"/>
      <c r="D61" s="123"/>
      <c r="E61" s="130"/>
      <c r="F61" s="130"/>
      <c r="G61" s="123">
        <f>IFERROR(IF($F$3="Masculino",B61*(HLOOKUP($C$3,Resgate!$E$1:$BD$87,Resgate!D49,FALSE)),B61*(HLOOKUP($C$3,Resgate!$BF$1:$DE$87,Resgate!D49,FALSE))),"")</f>
        <v>1477513.7398200922</v>
      </c>
      <c r="H61" s="124">
        <f t="shared" si="6"/>
        <v>20.90794895639181</v>
      </c>
      <c r="I61" s="121"/>
      <c r="J61" s="121"/>
      <c r="K61" s="121"/>
      <c r="L61" s="121"/>
    </row>
    <row r="62" spans="1:12" x14ac:dyDescent="0.3">
      <c r="A62" s="118">
        <f t="shared" si="7"/>
        <v>77</v>
      </c>
      <c r="B62" s="162">
        <f t="shared" si="8"/>
        <v>1959789.0260129701</v>
      </c>
      <c r="C62" s="162"/>
      <c r="D62" s="119"/>
      <c r="E62" s="117"/>
      <c r="F62" s="117"/>
      <c r="G62" s="119">
        <f>IFERROR(IF($F$3="Masculino",B62*(HLOOKUP($C$3,Resgate!$E$1:$BD$87,Resgate!D50,FALSE)),B62*(HLOOKUP($C$3,Resgate!$BF$1:$DE$87,Resgate!D50,FALSE))),"")</f>
        <v>1577355.7954768005</v>
      </c>
      <c r="H62" s="120">
        <f t="shared" si="6"/>
        <v>22.320790371745328</v>
      </c>
      <c r="I62" s="121"/>
      <c r="J62" s="121"/>
      <c r="K62" s="121"/>
      <c r="L62" s="121"/>
    </row>
    <row r="63" spans="1:12" x14ac:dyDescent="0.3">
      <c r="A63" s="122">
        <f t="shared" si="7"/>
        <v>78</v>
      </c>
      <c r="B63" s="163">
        <f t="shared" si="8"/>
        <v>2067577.4224436833</v>
      </c>
      <c r="C63" s="163"/>
      <c r="D63" s="123"/>
      <c r="E63" s="130"/>
      <c r="F63" s="130"/>
      <c r="G63" s="123">
        <f>IFERROR(IF($F$3="Masculino",B63*(HLOOKUP($C$3,Resgate!$E$1:$BD$87,Resgate!D51,FALSE)),B63*(HLOOKUP($C$3,Resgate!$BF$1:$DE$87,Resgate!D51,FALSE))),"")</f>
        <v>1683132.076514506</v>
      </c>
      <c r="H63" s="124">
        <f t="shared" si="6"/>
        <v>23.817605612869645</v>
      </c>
      <c r="I63" s="121"/>
      <c r="J63" s="121"/>
      <c r="K63" s="121"/>
      <c r="L63" s="121"/>
    </row>
    <row r="64" spans="1:12" x14ac:dyDescent="0.3">
      <c r="A64" s="118">
        <f t="shared" si="7"/>
        <v>79</v>
      </c>
      <c r="B64" s="162">
        <f t="shared" si="8"/>
        <v>2181294.1806780859</v>
      </c>
      <c r="C64" s="162"/>
      <c r="D64" s="119"/>
      <c r="E64" s="117"/>
      <c r="F64" s="117"/>
      <c r="G64" s="119">
        <f>IFERROR(IF($F$3="Masculino",B64*(HLOOKUP($C$3,Resgate!$E$1:$BD$87,Resgate!D52,FALSE)),B64*(HLOOKUP($C$3,Resgate!$BF$1:$DE$87,Resgate!D52,FALSE))),"")</f>
        <v>1795270.5495234863</v>
      </c>
      <c r="H64" s="120">
        <f t="shared" si="6"/>
        <v>25.404450734191471</v>
      </c>
      <c r="I64" s="121"/>
      <c r="J64" s="121"/>
      <c r="K64" s="121"/>
      <c r="L64" s="121"/>
    </row>
    <row r="65" spans="1:12" x14ac:dyDescent="0.3">
      <c r="A65" s="122">
        <f t="shared" si="7"/>
        <v>80</v>
      </c>
      <c r="B65" s="163">
        <f t="shared" si="8"/>
        <v>2301265.3606153806</v>
      </c>
      <c r="C65" s="163"/>
      <c r="D65" s="123"/>
      <c r="E65" s="130"/>
      <c r="F65" s="130"/>
      <c r="G65" s="123">
        <f>IFERROR(IF($F$3="Masculino",B65*(HLOOKUP($C$3,Resgate!$E$1:$BD$87,Resgate!D53,FALSE)),B65*(HLOOKUP($C$3,Resgate!$BF$1:$DE$87,Resgate!D53,FALSE))),"")</f>
        <v>1914146.5016526624</v>
      </c>
      <c r="H65" s="124">
        <f t="shared" si="6"/>
        <v>27.086636335769654</v>
      </c>
      <c r="I65" s="121"/>
      <c r="J65" s="121"/>
      <c r="K65" s="121"/>
      <c r="L65" s="121"/>
    </row>
    <row r="66" spans="1:12" x14ac:dyDescent="0.3">
      <c r="A66" s="118">
        <f t="shared" si="7"/>
        <v>81</v>
      </c>
      <c r="B66" s="162">
        <f t="shared" si="8"/>
        <v>2427834.9554492263</v>
      </c>
      <c r="C66" s="162"/>
      <c r="D66" s="119"/>
      <c r="E66" s="117"/>
      <c r="F66" s="117"/>
      <c r="G66" s="119">
        <f>IFERROR(IF($F$3="Masculino",B66*(HLOOKUP($C$3,Resgate!$E$1:$BD$87,Resgate!D54,FALSE)),B66*(HLOOKUP($C$3,Resgate!$BF$1:$DE$87,Resgate!D54,FALSE))),"")</f>
        <v>2040085.4347144319</v>
      </c>
      <c r="H66" s="120">
        <f t="shared" si="6"/>
        <v>28.868768517091052</v>
      </c>
      <c r="I66" s="121"/>
      <c r="J66" s="121"/>
      <c r="K66" s="121"/>
      <c r="L66" s="121"/>
    </row>
    <row r="67" spans="1:12" x14ac:dyDescent="0.3">
      <c r="A67" s="122">
        <f t="shared" si="7"/>
        <v>82</v>
      </c>
      <c r="B67" s="163">
        <f t="shared" si="8"/>
        <v>2561365.8779989337</v>
      </c>
      <c r="C67" s="163"/>
      <c r="D67" s="123"/>
      <c r="E67" s="130"/>
      <c r="F67" s="130"/>
      <c r="G67" s="123">
        <f>IFERROR(IF($F$3="Masculino",B67*(HLOOKUP($C$3,Resgate!$E$1:$BD$87,Resgate!D55,FALSE)),B67*(HLOOKUP($C$3,Resgate!$BF$1:$DE$87,Resgate!D55,FALSE))),"")</f>
        <v>2173370.174799657</v>
      </c>
      <c r="H67" s="124">
        <f t="shared" si="6"/>
        <v>30.754849483557841</v>
      </c>
      <c r="I67" s="121"/>
      <c r="J67" s="121"/>
      <c r="K67" s="121"/>
      <c r="L67" s="121"/>
    </row>
    <row r="68" spans="1:12" x14ac:dyDescent="0.3">
      <c r="A68" s="118">
        <f t="shared" si="7"/>
        <v>83</v>
      </c>
      <c r="B68" s="162">
        <f t="shared" si="8"/>
        <v>2702241.001288875</v>
      </c>
      <c r="C68" s="162"/>
      <c r="D68" s="119"/>
      <c r="E68" s="117"/>
      <c r="F68" s="117"/>
      <c r="G68" s="119">
        <f>IFERROR(IF($F$3="Masculino",B68*(HLOOKUP($C$3,Resgate!$E$1:$BD$87,Resgate!D56,FALSE)),B68*(HLOOKUP($C$3,Resgate!$BF$1:$DE$87,Resgate!D56,FALSE))),"")</f>
        <v>2314199.1935037947</v>
      </c>
      <c r="H68" s="120">
        <f t="shared" si="6"/>
        <v>32.747687759974404</v>
      </c>
      <c r="I68" s="121"/>
      <c r="J68" s="121"/>
      <c r="K68" s="121"/>
      <c r="L68" s="121"/>
    </row>
    <row r="69" spans="1:12" x14ac:dyDescent="0.3">
      <c r="A69" s="122">
        <f t="shared" si="7"/>
        <v>84</v>
      </c>
      <c r="B69" s="163">
        <f t="shared" si="8"/>
        <v>2850864.256359763</v>
      </c>
      <c r="C69" s="163"/>
      <c r="D69" s="123"/>
      <c r="E69" s="130"/>
      <c r="F69" s="130"/>
      <c r="G69" s="123">
        <f>IFERROR(IF($F$3="Masculino",B69*(HLOOKUP($C$3,Resgate!$E$1:$BD$87,Resgate!D57,FALSE)),B69*(HLOOKUP($C$3,Resgate!$BF$1:$DE$87,Resgate!D57,FALSE))),"")</f>
        <v>2462776.1051415107</v>
      </c>
      <c r="H69" s="124">
        <f t="shared" si="6"/>
        <v>34.850164644553459</v>
      </c>
      <c r="I69" s="121"/>
      <c r="J69" s="121"/>
      <c r="K69" s="121"/>
      <c r="L69" s="121"/>
    </row>
    <row r="70" spans="1:12" x14ac:dyDescent="0.3">
      <c r="A70" s="118">
        <f t="shared" si="7"/>
        <v>85</v>
      </c>
      <c r="B70" s="162">
        <f t="shared" si="8"/>
        <v>3007661.79045955</v>
      </c>
      <c r="C70" s="162"/>
      <c r="D70" s="119"/>
      <c r="E70" s="117"/>
      <c r="F70" s="117"/>
      <c r="G70" s="119">
        <f>IFERROR(IF($F$3="Masculino",B70*(HLOOKUP($C$3,Resgate!$E$1:$BD$87,Resgate!D58,FALSE)),B70*(HLOOKUP($C$3,Resgate!$BF$1:$DE$87,Resgate!D58,FALSE))),"")</f>
        <v>2619432.8065470336</v>
      </c>
      <c r="H70" s="120">
        <f t="shared" si="6"/>
        <v>37.066976731229694</v>
      </c>
      <c r="I70" s="121"/>
      <c r="J70" s="121"/>
      <c r="K70" s="121"/>
      <c r="L70" s="121"/>
    </row>
    <row r="71" spans="1:12" x14ac:dyDescent="0.3">
      <c r="A71" s="122">
        <f t="shared" si="7"/>
        <v>86</v>
      </c>
      <c r="B71" s="163">
        <f t="shared" si="8"/>
        <v>3173083.1889348249</v>
      </c>
      <c r="C71" s="163"/>
      <c r="D71" s="123"/>
      <c r="E71" s="130"/>
      <c r="F71" s="130"/>
      <c r="G71" s="123">
        <f>IFERROR(IF($F$3="Masculino",B71*(HLOOKUP($C$3,Resgate!$E$1:$BD$87,Resgate!D59,FALSE)),B71*(HLOOKUP($C$3,Resgate!$BF$1:$DE$87,Resgate!D59,FALSE))),"")</f>
        <v>2784666.0757773146</v>
      </c>
      <c r="H71" s="124">
        <f t="shared" si="6"/>
        <v>39.40515380928862</v>
      </c>
      <c r="I71" s="121"/>
      <c r="J71" s="121"/>
      <c r="K71" s="121"/>
      <c r="L71" s="121"/>
    </row>
    <row r="72" spans="1:12" x14ac:dyDescent="0.3">
      <c r="A72" s="118">
        <f t="shared" si="7"/>
        <v>87</v>
      </c>
      <c r="B72" s="162">
        <f t="shared" si="8"/>
        <v>3347602.7643262399</v>
      </c>
      <c r="C72" s="162"/>
      <c r="D72" s="119"/>
      <c r="E72" s="117"/>
      <c r="F72" s="117"/>
      <c r="G72" s="119">
        <f>IFERROR(IF($F$3="Masculino",B72*(HLOOKUP($C$3,Resgate!$E$1:$BD$87,Resgate!D60,FALSE)),B72*(HLOOKUP($C$3,Resgate!$BF$1:$DE$87,Resgate!D60,FALSE))),"")</f>
        <v>2959046.5114708953</v>
      </c>
      <c r="H72" s="120">
        <f t="shared" si="6"/>
        <v>41.872770285680033</v>
      </c>
      <c r="I72" s="121"/>
      <c r="J72" s="121"/>
      <c r="K72" s="121"/>
      <c r="L72" s="121"/>
    </row>
    <row r="73" spans="1:12" x14ac:dyDescent="0.3">
      <c r="A73" s="122">
        <f t="shared" si="7"/>
        <v>88</v>
      </c>
      <c r="B73" s="163">
        <f t="shared" si="8"/>
        <v>3531720.9163641827</v>
      </c>
      <c r="C73" s="163"/>
      <c r="D73" s="123"/>
      <c r="E73" s="130"/>
      <c r="F73" s="130"/>
      <c r="G73" s="123">
        <f>IFERROR(IF($F$3="Masculino",B73*(HLOOKUP($C$3,Resgate!$E$1:$BD$87,Resgate!D61,FALSE)),B73*(HLOOKUP($C$3,Resgate!$BF$1:$DE$87,Resgate!D61,FALSE))),"")</f>
        <v>3143302.2499824511</v>
      </c>
      <c r="H73" s="124">
        <f t="shared" si="6"/>
        <v>44.480129846472316</v>
      </c>
      <c r="I73" s="121"/>
      <c r="J73" s="121"/>
      <c r="K73" s="121"/>
      <c r="L73" s="121"/>
    </row>
    <row r="74" spans="1:12" x14ac:dyDescent="0.3">
      <c r="A74" s="118">
        <f t="shared" si="7"/>
        <v>89</v>
      </c>
      <c r="B74" s="162">
        <f t="shared" si="8"/>
        <v>3725965.5667642127</v>
      </c>
      <c r="C74" s="162"/>
      <c r="D74" s="119"/>
      <c r="E74" s="117"/>
      <c r="F74" s="117"/>
      <c r="G74" s="119">
        <f>IFERROR(IF($F$3="Masculino",B74*(HLOOKUP($C$3,Resgate!$E$1:$BD$87,Resgate!D62,FALSE)),B74*(HLOOKUP($C$3,Resgate!$BF$1:$DE$87,Resgate!D62,FALSE))),"")</f>
        <v>3338316.1091980655</v>
      </c>
      <c r="H74" s="120">
        <f t="shared" si="6"/>
        <v>47.239725039655099</v>
      </c>
      <c r="I74" s="121"/>
      <c r="J74" s="121"/>
      <c r="K74" s="121"/>
      <c r="L74" s="121"/>
    </row>
    <row r="75" spans="1:12" x14ac:dyDescent="0.3">
      <c r="A75" s="122">
        <f t="shared" si="7"/>
        <v>90</v>
      </c>
      <c r="B75" s="163">
        <f t="shared" si="8"/>
        <v>3930893.6729362439</v>
      </c>
      <c r="C75" s="163"/>
      <c r="D75" s="123"/>
      <c r="E75" s="130"/>
      <c r="F75" s="130"/>
      <c r="G75" s="123">
        <f>IFERROR(IF($F$3="Masculino",B75*(HLOOKUP($C$3,Resgate!$E$1:$BD$87,Resgate!D63,FALSE)),B75*(HLOOKUP($C$3,Resgate!$BF$1:$DE$87,Resgate!D63,FALSE))),"")</f>
        <v>3545194.3857477414</v>
      </c>
      <c r="H75" s="124">
        <f t="shared" si="6"/>
        <v>50.16721080829074</v>
      </c>
      <c r="I75" s="121"/>
      <c r="J75" s="121"/>
      <c r="K75" s="121"/>
      <c r="L75" s="121"/>
    </row>
    <row r="76" spans="1:12" x14ac:dyDescent="0.3">
      <c r="A76" s="118">
        <f t="shared" si="7"/>
        <v>91</v>
      </c>
      <c r="B76" s="162">
        <f t="shared" si="8"/>
        <v>4147092.8249477372</v>
      </c>
      <c r="C76" s="162"/>
      <c r="D76" s="119"/>
      <c r="E76" s="117"/>
      <c r="F76" s="117"/>
      <c r="G76" s="119">
        <f>IFERROR(IF($F$3="Masculino",B76*(HLOOKUP($C$3,Resgate!$E$1:$BD$87,Resgate!D64,FALSE)),B76*(HLOOKUP($C$3,Resgate!$BF$1:$DE$87,Resgate!D64,FALSE))),"")</f>
        <v>3765104.1048418037</v>
      </c>
      <c r="H76" s="120">
        <f t="shared" si="6"/>
        <v>53.279101451279253</v>
      </c>
      <c r="I76" s="121"/>
      <c r="J76" s="121"/>
      <c r="K76" s="121"/>
      <c r="L76" s="121"/>
    </row>
    <row r="77" spans="1:12" x14ac:dyDescent="0.3">
      <c r="A77" s="122">
        <f t="shared" si="7"/>
        <v>92</v>
      </c>
      <c r="B77" s="163">
        <f t="shared" si="8"/>
        <v>4375182.9303198624</v>
      </c>
      <c r="C77" s="163"/>
      <c r="D77" s="123"/>
      <c r="E77" s="130"/>
      <c r="F77" s="130"/>
      <c r="G77" s="123">
        <f>IFERROR(IF($F$3="Masculino",B77*(HLOOKUP($C$3,Resgate!$E$1:$BD$87,Resgate!D65,FALSE)),B77*(HLOOKUP($C$3,Resgate!$BF$1:$DE$87,Resgate!D65,FALSE))),"")</f>
        <v>3999704.7312398138</v>
      </c>
      <c r="H77" s="124">
        <f t="shared" si="6"/>
        <v>56.598879663605317</v>
      </c>
      <c r="I77" s="121"/>
      <c r="J77" s="121"/>
      <c r="K77" s="121"/>
      <c r="L77" s="121"/>
    </row>
    <row r="78" spans="1:12" x14ac:dyDescent="0.3">
      <c r="A78" s="118">
        <f t="shared" si="7"/>
        <v>93</v>
      </c>
      <c r="B78" s="162">
        <f t="shared" si="8"/>
        <v>4615817.9914874546</v>
      </c>
      <c r="C78" s="162"/>
      <c r="D78" s="119"/>
      <c r="E78" s="117"/>
      <c r="F78" s="117"/>
      <c r="G78" s="119">
        <f>IFERROR(IF($F$3="Masculino",B78*(HLOOKUP($C$3,Resgate!$E$1:$BD$87,Resgate!D66,FALSE)),B78*(HLOOKUP($C$3,Resgate!$BF$1:$DE$87,Resgate!D66,FALSE))),"")</f>
        <v>4250845.2629005443</v>
      </c>
      <c r="H78" s="120">
        <f t="shared" si="6"/>
        <v>60.152710179917818</v>
      </c>
      <c r="I78" s="121"/>
      <c r="J78" s="121"/>
      <c r="K78" s="121"/>
      <c r="L78" s="121"/>
    </row>
    <row r="79" spans="1:12" x14ac:dyDescent="0.3">
      <c r="A79" s="122">
        <f t="shared" si="7"/>
        <v>94</v>
      </c>
      <c r="B79" s="163">
        <f t="shared" ref="B79:B99" si="9">IFERROR(IF(A79="","",B78)*(1+$G$3),"")</f>
        <v>4869687.9810192641</v>
      </c>
      <c r="C79" s="163"/>
      <c r="D79" s="123"/>
      <c r="E79" s="130"/>
      <c r="F79" s="130"/>
      <c r="G79" s="123">
        <f>IFERROR(IF($F$3="Masculino",B79*(HLOOKUP($C$3,Resgate!$E$1:$BD$87,Resgate!D67,FALSE)),B79*(HLOOKUP($C$3,Resgate!$BF$1:$DE$87,Resgate!D67,FALSE))),"")</f>
        <v>4520726.1402994245</v>
      </c>
      <c r="H79" s="124">
        <f t="shared" si="6"/>
        <v>63.971730915149081</v>
      </c>
      <c r="I79" s="121"/>
      <c r="J79" s="121"/>
      <c r="K79" s="121"/>
      <c r="L79" s="121"/>
    </row>
    <row r="80" spans="1:12" x14ac:dyDescent="0.3">
      <c r="A80" s="118">
        <f t="shared" ref="A80:A99" si="10">IF(A79="","",IF(A79+1&gt;100,"",A79+1))</f>
        <v>95</v>
      </c>
      <c r="B80" s="162">
        <f t="shared" si="9"/>
        <v>5137520.819975323</v>
      </c>
      <c r="C80" s="162"/>
      <c r="D80" s="119"/>
      <c r="E80" s="117"/>
      <c r="F80" s="117"/>
      <c r="G80" s="119">
        <f>IFERROR(IF($F$3="Masculino",B80*(HLOOKUP($C$3,Resgate!$E$1:$BD$87,Resgate!D68,FALSE)),B80*(HLOOKUP($C$3,Resgate!$BF$1:$DE$87,Resgate!D68,FALSE))),"")</f>
        <v>4811390.9983232915</v>
      </c>
      <c r="H80" s="120">
        <f t="shared" si="6"/>
        <v>68.084860865277236</v>
      </c>
      <c r="I80" s="121"/>
      <c r="J80" s="121"/>
      <c r="K80" s="121"/>
      <c r="L80" s="121"/>
    </row>
    <row r="81" spans="1:12" x14ac:dyDescent="0.3">
      <c r="A81" s="122">
        <f t="shared" si="10"/>
        <v>96</v>
      </c>
      <c r="B81" s="163">
        <f t="shared" si="9"/>
        <v>5420084.4650739655</v>
      </c>
      <c r="C81" s="163"/>
      <c r="D81" s="123"/>
      <c r="E81" s="130"/>
      <c r="F81" s="130"/>
      <c r="G81" s="123">
        <f>IFERROR(IF($F$3="Masculino",B81*(HLOOKUP($C$3,Resgate!$E$1:$BD$87,Resgate!D69,FALSE)),B81*(HLOOKUP($C$3,Resgate!$BF$1:$DE$87,Resgate!D69,FALSE))),"")</f>
        <v>5124147.8532809298</v>
      </c>
      <c r="H81" s="124">
        <f t="shared" si="6"/>
        <v>72.510609461031194</v>
      </c>
      <c r="I81" s="121"/>
      <c r="J81" s="121"/>
      <c r="K81" s="121"/>
      <c r="L81" s="121"/>
    </row>
    <row r="82" spans="1:12" x14ac:dyDescent="0.3">
      <c r="A82" s="118">
        <f t="shared" si="10"/>
        <v>97</v>
      </c>
      <c r="B82" s="162">
        <f t="shared" si="9"/>
        <v>5718189.1106530335</v>
      </c>
      <c r="C82" s="162"/>
      <c r="D82" s="119"/>
      <c r="E82" s="117"/>
      <c r="F82" s="117"/>
      <c r="G82" s="119">
        <f>IFERROR(IF($F$3="Masculino",B82*(HLOOKUP($C$3,Resgate!$E$1:$BD$87,Resgate!D70,FALSE)),B82*(HLOOKUP($C$3,Resgate!$BF$1:$DE$87,Resgate!D70,FALSE))),"")</f>
        <v>5459040.7801582413</v>
      </c>
      <c r="H82" s="120">
        <f t="shared" si="6"/>
        <v>77.249600397156129</v>
      </c>
      <c r="I82" s="121"/>
      <c r="J82" s="121"/>
      <c r="K82" s="121"/>
      <c r="L82" s="121"/>
    </row>
    <row r="83" spans="1:12" x14ac:dyDescent="0.3">
      <c r="A83" s="122">
        <f t="shared" si="10"/>
        <v>98</v>
      </c>
      <c r="B83" s="163">
        <f t="shared" si="9"/>
        <v>6032689.5117389504</v>
      </c>
      <c r="C83" s="163"/>
      <c r="D83" s="123"/>
      <c r="E83" s="130"/>
      <c r="F83" s="130"/>
      <c r="G83" s="123">
        <f>IFERROR(IF($F$3="Masculino",B83*(HLOOKUP($C$3,Resgate!$E$1:$BD$87,Resgate!D71,FALSE)),B83*(HLOOKUP($C$3,Resgate!$BF$1:$DE$87,Resgate!D71,FALSE))),"")</f>
        <v>5813521.9017774779</v>
      </c>
      <c r="H83" s="124">
        <f t="shared" si="6"/>
        <v>82.265779263771591</v>
      </c>
      <c r="I83" s="121"/>
      <c r="J83" s="121"/>
      <c r="K83" s="121"/>
      <c r="L83" s="121"/>
    </row>
    <row r="84" spans="1:12" x14ac:dyDescent="0.3">
      <c r="A84" s="118">
        <f t="shared" si="10"/>
        <v>99</v>
      </c>
      <c r="B84" s="162">
        <f t="shared" si="9"/>
        <v>6364487.434884592</v>
      </c>
      <c r="C84" s="162"/>
      <c r="D84" s="119"/>
      <c r="E84" s="117"/>
      <c r="F84" s="117"/>
      <c r="G84" s="119">
        <f>IFERROR(IF($F$3="Masculino",B84*(HLOOKUP($C$3,Resgate!$E$1:$BD$87,Resgate!D72,FALSE)),B84*(HLOOKUP($C$3,Resgate!$BF$1:$DE$87,Resgate!D72,FALSE))),"")</f>
        <v>6179089.9159064079</v>
      </c>
      <c r="H84" s="120">
        <f t="shared" si="6"/>
        <v>87.438846135168575</v>
      </c>
      <c r="I84" s="121"/>
      <c r="J84" s="121"/>
      <c r="K84" s="121"/>
      <c r="L84" s="121"/>
    </row>
    <row r="85" spans="1:12" x14ac:dyDescent="0.3">
      <c r="A85" s="122">
        <f t="shared" si="10"/>
        <v>100</v>
      </c>
      <c r="B85" s="163">
        <f t="shared" si="9"/>
        <v>6714534.2438032441</v>
      </c>
      <c r="C85" s="163"/>
      <c r="D85" s="123"/>
      <c r="E85" s="130"/>
      <c r="F85" s="130"/>
      <c r="G85" s="123">
        <f>IFERROR(IF($F$3="Masculino",B85*(HLOOKUP($C$3,Resgate!$E$1:$BD$87,Resgate!D73,FALSE)),B85*(HLOOKUP($C$3,Resgate!$BF$1:$DE$87,Resgate!D73,FALSE))),"")</f>
        <v>6714534.2438032469</v>
      </c>
      <c r="H85" s="124">
        <f t="shared" si="6"/>
        <v>95.015792714372495</v>
      </c>
      <c r="I85" s="121"/>
      <c r="J85" s="121"/>
      <c r="K85" s="121"/>
      <c r="L85" s="121"/>
    </row>
    <row r="86" spans="1:12" x14ac:dyDescent="0.3">
      <c r="A86" s="118" t="str">
        <f t="shared" si="10"/>
        <v/>
      </c>
      <c r="B86" s="162" t="str">
        <f t="shared" si="9"/>
        <v/>
      </c>
      <c r="C86" s="162"/>
      <c r="D86" s="119"/>
      <c r="E86" s="117"/>
      <c r="F86" s="117"/>
      <c r="G86" s="119" t="str">
        <f>IFERROR(IF($F$3="Masculino",B86*(HLOOKUP($C$3,Resgate!$E$1:$BD$87,Resgate!D74,FALSE)),B86*(HLOOKUP($C$3,Resgate!$BF$1:$DE$87,Resgate!D74,FALSE))),"")</f>
        <v/>
      </c>
      <c r="H86" s="120" t="e">
        <f t="shared" si="6"/>
        <v>#VALUE!</v>
      </c>
      <c r="I86" s="121"/>
      <c r="J86" s="121"/>
      <c r="K86" s="121"/>
      <c r="L86" s="121"/>
    </row>
    <row r="87" spans="1:12" x14ac:dyDescent="0.3">
      <c r="A87" s="122" t="str">
        <f t="shared" si="10"/>
        <v/>
      </c>
      <c r="B87" s="163" t="str">
        <f t="shared" si="9"/>
        <v/>
      </c>
      <c r="C87" s="163"/>
      <c r="D87" s="123"/>
      <c r="E87" s="130"/>
      <c r="F87" s="130"/>
      <c r="G87" s="123" t="str">
        <f>IFERROR(IF($F$3="Masculino",B87*(HLOOKUP($C$3,Resgate!$E$1:$BD$87,Resgate!D75,FALSE)),B87*(HLOOKUP($C$3,Resgate!$BF$1:$DE$87,Resgate!D75,FALSE))),"")</f>
        <v/>
      </c>
      <c r="H87" s="124" t="e">
        <f t="shared" si="6"/>
        <v>#VALUE!</v>
      </c>
      <c r="I87" s="121"/>
      <c r="J87" s="121"/>
      <c r="K87" s="121"/>
      <c r="L87" s="121"/>
    </row>
    <row r="88" spans="1:12" x14ac:dyDescent="0.3">
      <c r="A88" s="118" t="str">
        <f t="shared" si="10"/>
        <v/>
      </c>
      <c r="B88" s="162" t="str">
        <f t="shared" si="9"/>
        <v/>
      </c>
      <c r="C88" s="162"/>
      <c r="D88" s="119"/>
      <c r="E88" s="117"/>
      <c r="F88" s="117"/>
      <c r="G88" s="119" t="str">
        <f>IFERROR(IF($F$3="Masculino",B88*(HLOOKUP($C$3,Resgate!$E$1:$BD$87,Resgate!D76,FALSE)),B88*(HLOOKUP($C$3,Resgate!$BF$1:$DE$87,Resgate!D76,FALSE))),"")</f>
        <v/>
      </c>
      <c r="H88" s="120" t="e">
        <f t="shared" si="6"/>
        <v>#VALUE!</v>
      </c>
      <c r="I88" s="121"/>
      <c r="J88" s="121"/>
      <c r="K88" s="121"/>
      <c r="L88" s="121"/>
    </row>
    <row r="89" spans="1:12" x14ac:dyDescent="0.3">
      <c r="A89" s="122" t="str">
        <f t="shared" si="10"/>
        <v/>
      </c>
      <c r="B89" s="163" t="str">
        <f t="shared" si="9"/>
        <v/>
      </c>
      <c r="C89" s="163"/>
      <c r="D89" s="123"/>
      <c r="E89" s="130"/>
      <c r="F89" s="130"/>
      <c r="G89" s="123" t="str">
        <f>IFERROR(IF($F$3="Masculino",B89*(HLOOKUP($C$3,Resgate!$E$1:$BD$87,Resgate!D77,FALSE)),B89*(HLOOKUP($C$3,Resgate!$BF$1:$DE$87,Resgate!D77,FALSE))),"")</f>
        <v/>
      </c>
      <c r="H89" s="124" t="e">
        <f t="shared" ref="H89:H99" si="11">G89/$F$23</f>
        <v>#VALUE!</v>
      </c>
      <c r="I89" s="121"/>
      <c r="J89" s="121"/>
      <c r="K89" s="121"/>
      <c r="L89" s="121"/>
    </row>
    <row r="90" spans="1:12" x14ac:dyDescent="0.3">
      <c r="A90" s="118" t="str">
        <f t="shared" si="10"/>
        <v/>
      </c>
      <c r="B90" s="162" t="str">
        <f t="shared" si="9"/>
        <v/>
      </c>
      <c r="C90" s="162"/>
      <c r="D90" s="119"/>
      <c r="E90" s="117"/>
      <c r="F90" s="117"/>
      <c r="G90" s="119" t="str">
        <f>IFERROR(IF($F$3="Masculino",B90*(HLOOKUP($C$3,Resgate!$E$1:$BD$87,Resgate!D78,FALSE)),B90*(HLOOKUP($C$3,Resgate!$BF$1:$DE$87,Resgate!D78,FALSE))),"")</f>
        <v/>
      </c>
      <c r="H90" s="120" t="e">
        <f t="shared" si="11"/>
        <v>#VALUE!</v>
      </c>
      <c r="I90" s="121"/>
      <c r="J90" s="121"/>
      <c r="K90" s="121"/>
      <c r="L90" s="121"/>
    </row>
    <row r="91" spans="1:12" x14ac:dyDescent="0.3">
      <c r="A91" s="122" t="str">
        <f t="shared" si="10"/>
        <v/>
      </c>
      <c r="B91" s="163" t="str">
        <f t="shared" si="9"/>
        <v/>
      </c>
      <c r="C91" s="163"/>
      <c r="D91" s="123"/>
      <c r="E91" s="130"/>
      <c r="F91" s="130"/>
      <c r="G91" s="123" t="str">
        <f>IFERROR(IF($F$3="Masculino",B91*(HLOOKUP($C$3,Resgate!$E$1:$BD$87,Resgate!D79,FALSE)),B91*(HLOOKUP($C$3,Resgate!$BF$1:$DE$87,Resgate!D79,FALSE))),"")</f>
        <v/>
      </c>
      <c r="H91" s="124" t="e">
        <f t="shared" si="11"/>
        <v>#VALUE!</v>
      </c>
      <c r="I91" s="121"/>
      <c r="J91" s="121"/>
      <c r="K91" s="121"/>
      <c r="L91" s="121"/>
    </row>
    <row r="92" spans="1:12" x14ac:dyDescent="0.3">
      <c r="A92" s="118" t="str">
        <f t="shared" si="10"/>
        <v/>
      </c>
      <c r="B92" s="162" t="str">
        <f t="shared" si="9"/>
        <v/>
      </c>
      <c r="C92" s="162"/>
      <c r="D92" s="119"/>
      <c r="E92" s="117"/>
      <c r="F92" s="117"/>
      <c r="G92" s="119" t="str">
        <f>IFERROR(IF($F$3="Masculino",B92*(HLOOKUP($C$3,Resgate!$E$1:$BD$87,Resgate!D80,FALSE)),B92*(HLOOKUP($C$3,Resgate!$BF$1:$DE$87,Resgate!D80,FALSE))),"")</f>
        <v/>
      </c>
      <c r="H92" s="120" t="e">
        <f t="shared" si="11"/>
        <v>#VALUE!</v>
      </c>
      <c r="I92" s="121"/>
      <c r="J92" s="121"/>
      <c r="K92" s="121"/>
      <c r="L92" s="121"/>
    </row>
    <row r="93" spans="1:12" x14ac:dyDescent="0.3">
      <c r="A93" s="122" t="str">
        <f t="shared" si="10"/>
        <v/>
      </c>
      <c r="B93" s="163" t="str">
        <f t="shared" si="9"/>
        <v/>
      </c>
      <c r="C93" s="163"/>
      <c r="D93" s="123"/>
      <c r="E93" s="130"/>
      <c r="F93" s="130"/>
      <c r="G93" s="123" t="str">
        <f>IFERROR(IF($F$3="Masculino",B93*(HLOOKUP($C$3,Resgate!$E$1:$BD$87,Resgate!D81,FALSE)),B93*(HLOOKUP($C$3,Resgate!$BF$1:$DE$87,Resgate!D81,FALSE))),"")</f>
        <v/>
      </c>
      <c r="H93" s="124" t="e">
        <f t="shared" si="11"/>
        <v>#VALUE!</v>
      </c>
      <c r="I93" s="121"/>
      <c r="J93" s="121"/>
      <c r="K93" s="121"/>
      <c r="L93" s="121"/>
    </row>
    <row r="94" spans="1:12" x14ac:dyDescent="0.3">
      <c r="A94" s="118" t="str">
        <f t="shared" si="10"/>
        <v/>
      </c>
      <c r="B94" s="162" t="str">
        <f t="shared" si="9"/>
        <v/>
      </c>
      <c r="C94" s="162"/>
      <c r="D94" s="119"/>
      <c r="E94" s="117"/>
      <c r="F94" s="117"/>
      <c r="G94" s="119" t="str">
        <f>IFERROR(IF($F$3="Masculino",B94*(HLOOKUP($C$3,Resgate!$E$1:$BD$87,Resgate!D82,FALSE)),B94*(HLOOKUP($C$3,Resgate!$BF$1:$DE$87,Resgate!D82,FALSE))),"")</f>
        <v/>
      </c>
      <c r="H94" s="120" t="e">
        <f t="shared" si="11"/>
        <v>#VALUE!</v>
      </c>
      <c r="I94" s="121"/>
      <c r="J94" s="121"/>
      <c r="K94" s="121"/>
      <c r="L94" s="121"/>
    </row>
    <row r="95" spans="1:12" x14ac:dyDescent="0.3">
      <c r="A95" s="122" t="str">
        <f t="shared" si="10"/>
        <v/>
      </c>
      <c r="B95" s="163" t="str">
        <f t="shared" si="9"/>
        <v/>
      </c>
      <c r="C95" s="163"/>
      <c r="D95" s="123"/>
      <c r="E95" s="130"/>
      <c r="F95" s="130"/>
      <c r="G95" s="123" t="str">
        <f>IFERROR(IF($F$3="Masculino",B95*(HLOOKUP($C$3,Resgate!$E$1:$BD$87,Resgate!D83,FALSE)),B95*(HLOOKUP($C$3,Resgate!$BF$1:$DE$87,Resgate!D83,FALSE))),"")</f>
        <v/>
      </c>
      <c r="H95" s="124" t="e">
        <f t="shared" si="11"/>
        <v>#VALUE!</v>
      </c>
      <c r="I95" s="121"/>
      <c r="J95" s="121"/>
      <c r="K95" s="121"/>
      <c r="L95" s="121"/>
    </row>
    <row r="96" spans="1:12" x14ac:dyDescent="0.3">
      <c r="A96" s="118" t="str">
        <f t="shared" si="10"/>
        <v/>
      </c>
      <c r="B96" s="162" t="str">
        <f t="shared" si="9"/>
        <v/>
      </c>
      <c r="C96" s="162"/>
      <c r="D96" s="119"/>
      <c r="E96" s="117"/>
      <c r="F96" s="117"/>
      <c r="G96" s="119" t="str">
        <f>IFERROR(IF($F$3="Masculino",B96*(HLOOKUP($C$3,Resgate!$E$1:$BD$87,Resgate!D84,FALSE)),B96*(HLOOKUP($C$3,Resgate!$BF$1:$DE$87,Resgate!D84,FALSE))),"")</f>
        <v/>
      </c>
      <c r="H96" s="120" t="e">
        <f t="shared" si="11"/>
        <v>#VALUE!</v>
      </c>
      <c r="I96" s="121"/>
      <c r="J96" s="121"/>
      <c r="K96" s="121"/>
      <c r="L96" s="121"/>
    </row>
    <row r="97" spans="1:12" x14ac:dyDescent="0.3">
      <c r="A97" s="122" t="str">
        <f t="shared" si="10"/>
        <v/>
      </c>
      <c r="B97" s="163" t="str">
        <f t="shared" si="9"/>
        <v/>
      </c>
      <c r="C97" s="163"/>
      <c r="D97" s="123"/>
      <c r="E97" s="130"/>
      <c r="F97" s="130"/>
      <c r="G97" s="123" t="str">
        <f>IFERROR(IF($F$3="Masculino",B97*(HLOOKUP($C$3,Resgate!$E$1:$BD$87,Resgate!D85,FALSE)),B97*(HLOOKUP($C$3,Resgate!$BF$1:$DE$87,Resgate!D85,FALSE))),"")</f>
        <v/>
      </c>
      <c r="H97" s="124" t="e">
        <f t="shared" si="11"/>
        <v>#VALUE!</v>
      </c>
      <c r="I97" s="121"/>
      <c r="J97" s="121"/>
      <c r="K97" s="121"/>
      <c r="L97" s="121"/>
    </row>
    <row r="98" spans="1:12" x14ac:dyDescent="0.3">
      <c r="A98" s="118" t="str">
        <f t="shared" si="10"/>
        <v/>
      </c>
      <c r="B98" s="162" t="str">
        <f t="shared" si="9"/>
        <v/>
      </c>
      <c r="C98" s="162"/>
      <c r="D98" s="119"/>
      <c r="E98" s="117"/>
      <c r="F98" s="117"/>
      <c r="G98" s="119" t="str">
        <f>IFERROR(IF($F$3="Masculino",B98*(HLOOKUP($C$3,Resgate!$E$1:$BD$87,Resgate!D86,FALSE)),B98*(HLOOKUP($C$3,Resgate!$BF$1:$DE$87,Resgate!D86,FALSE))),"")</f>
        <v/>
      </c>
      <c r="H98" s="120" t="e">
        <f t="shared" si="11"/>
        <v>#VALUE!</v>
      </c>
      <c r="I98" s="121"/>
      <c r="J98" s="121"/>
      <c r="K98" s="121"/>
      <c r="L98" s="121"/>
    </row>
    <row r="99" spans="1:12" x14ac:dyDescent="0.3">
      <c r="A99" s="122" t="str">
        <f t="shared" si="10"/>
        <v/>
      </c>
      <c r="B99" s="163" t="str">
        <f t="shared" si="9"/>
        <v/>
      </c>
      <c r="C99" s="163"/>
      <c r="D99" s="123"/>
      <c r="E99" s="130"/>
      <c r="F99" s="130"/>
      <c r="G99" s="123" t="str">
        <f>IFERROR(IF($F$3="Masculino",B99*(HLOOKUP($C$3,Resgate!$E$1:$BD$87,Resgate!D87,FALSE)),B99*(HLOOKUP($C$3,Resgate!$BF$1:$DE$87,Resgate!D87,FALSE))),"")</f>
        <v/>
      </c>
      <c r="H99" s="124" t="e">
        <f t="shared" si="11"/>
        <v>#VALUE!</v>
      </c>
      <c r="I99" s="121"/>
      <c r="J99" s="121"/>
      <c r="K99" s="121"/>
      <c r="L99" s="121"/>
    </row>
  </sheetData>
  <sheetProtection selectLockedCells="1"/>
  <mergeCells count="100">
    <mergeCell ref="B98:C98"/>
    <mergeCell ref="B99:C99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56:C56"/>
    <mergeCell ref="B55:C55"/>
    <mergeCell ref="B54:C54"/>
    <mergeCell ref="B82:C82"/>
    <mergeCell ref="B81:C81"/>
    <mergeCell ref="B80:C80"/>
    <mergeCell ref="B79:C79"/>
    <mergeCell ref="B78:C78"/>
    <mergeCell ref="B77:C77"/>
    <mergeCell ref="B76:C76"/>
    <mergeCell ref="B75:C75"/>
    <mergeCell ref="B74:C74"/>
    <mergeCell ref="B73:C73"/>
    <mergeCell ref="B72:C72"/>
    <mergeCell ref="B61:C61"/>
    <mergeCell ref="B60:C60"/>
    <mergeCell ref="B59:C59"/>
    <mergeCell ref="B58:C58"/>
    <mergeCell ref="B57:C57"/>
    <mergeCell ref="B66:C66"/>
    <mergeCell ref="B65:C65"/>
    <mergeCell ref="B64:C64"/>
    <mergeCell ref="B63:C63"/>
    <mergeCell ref="B62:C62"/>
    <mergeCell ref="B71:C71"/>
    <mergeCell ref="B70:C70"/>
    <mergeCell ref="B69:C69"/>
    <mergeCell ref="B68:C68"/>
    <mergeCell ref="B67:C67"/>
    <mergeCell ref="B46:C46"/>
    <mergeCell ref="B47:C47"/>
    <mergeCell ref="B53:C53"/>
    <mergeCell ref="B52:C52"/>
    <mergeCell ref="B51:C51"/>
    <mergeCell ref="B50:C50"/>
    <mergeCell ref="B49:C49"/>
    <mergeCell ref="B48:C48"/>
    <mergeCell ref="B36:C36"/>
    <mergeCell ref="B42:C42"/>
    <mergeCell ref="B43:C43"/>
    <mergeCell ref="B44:C44"/>
    <mergeCell ref="B45:C45"/>
    <mergeCell ref="B41:C41"/>
    <mergeCell ref="B40:C40"/>
    <mergeCell ref="B39:C39"/>
    <mergeCell ref="B38:C38"/>
    <mergeCell ref="B37:C37"/>
    <mergeCell ref="A9:B9"/>
    <mergeCell ref="B35:C35"/>
    <mergeCell ref="B34:C34"/>
    <mergeCell ref="B33:C33"/>
    <mergeCell ref="B32:C32"/>
    <mergeCell ref="B31:C31"/>
    <mergeCell ref="B30:C30"/>
    <mergeCell ref="B29:C29"/>
    <mergeCell ref="B28:C28"/>
    <mergeCell ref="B27:C27"/>
    <mergeCell ref="B26:C26"/>
    <mergeCell ref="B25:C25"/>
    <mergeCell ref="B24:C24"/>
    <mergeCell ref="B20:C20"/>
    <mergeCell ref="B21:C21"/>
    <mergeCell ref="B22:C22"/>
    <mergeCell ref="G13:H13"/>
    <mergeCell ref="A10:H10"/>
    <mergeCell ref="E24:F24"/>
    <mergeCell ref="B14:C14"/>
    <mergeCell ref="B19:C19"/>
    <mergeCell ref="B18:C18"/>
    <mergeCell ref="B17:C17"/>
    <mergeCell ref="B15:C15"/>
    <mergeCell ref="B16:C16"/>
    <mergeCell ref="B13:C13"/>
    <mergeCell ref="A11:B11"/>
    <mergeCell ref="B23:C23"/>
    <mergeCell ref="A5:H5"/>
    <mergeCell ref="A7:H7"/>
    <mergeCell ref="A2:B2"/>
    <mergeCell ref="A3:B3"/>
    <mergeCell ref="A1:H1"/>
    <mergeCell ref="A4:H4"/>
    <mergeCell ref="A6:E6"/>
    <mergeCell ref="F6:H6"/>
  </mergeCells>
  <dataValidations count="2">
    <dataValidation type="list" allowBlank="1" showInputMessage="1" showErrorMessage="1" sqref="F11:F12 F8:F9 F3" xr:uid="{00000000-0002-0000-0000-000000000000}">
      <formula1>"Masculino, Feminino"</formula1>
    </dataValidation>
    <dataValidation type="list" allowBlank="1" showInputMessage="1" showErrorMessage="1" sqref="H11:H12 H8:H9 H3" xr:uid="{00000000-0002-0000-0000-000001000000}">
      <formula1>"Anual, Mensal"</formula1>
    </dataValidation>
  </dataValidations>
  <pageMargins left="0.39370078740157483" right="0.39370078740157483" top="0.39370078740157483" bottom="0.39370078740157483" header="0" footer="0"/>
  <pageSetup paperSize="9" scale="41" fitToHeight="0" orientation="portrait" r:id="rId1"/>
  <colBreaks count="1" manualBreakCount="1">
    <brk id="12" max="1048575" man="1"/>
  </colBreaks>
  <ignoredErrors>
    <ignoredError sqref="I3" unlockedFormula="1"/>
    <ignoredError sqref="K21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3">
    <pageSetUpPr autoPageBreaks="0"/>
  </sheetPr>
  <dimension ref="A2:G87"/>
  <sheetViews>
    <sheetView zoomScale="80" zoomScaleNormal="80" zoomScalePageLayoutView="80" workbookViewId="0">
      <selection activeCell="D20" sqref="D20"/>
    </sheetView>
  </sheetViews>
  <sheetFormatPr defaultColWidth="8.6640625" defaultRowHeight="21" x14ac:dyDescent="0.4"/>
  <cols>
    <col min="1" max="1" width="6" style="14" bestFit="1" customWidth="1"/>
    <col min="2" max="2" width="39" style="74" bestFit="1" customWidth="1"/>
    <col min="3" max="3" width="24" style="74" bestFit="1" customWidth="1"/>
    <col min="4" max="4" width="16.6640625" style="14" bestFit="1" customWidth="1"/>
    <col min="5" max="5" width="25.109375" style="14" bestFit="1" customWidth="1"/>
    <col min="6" max="7" width="40.88671875" style="14" bestFit="1" customWidth="1"/>
    <col min="8" max="8" width="7.88671875" style="14" bestFit="1" customWidth="1"/>
    <col min="9" max="23" width="7.88671875" style="14" customWidth="1"/>
    <col min="24" max="27" width="8.109375" style="14" bestFit="1" customWidth="1"/>
    <col min="28" max="52" width="7.88671875" style="14" bestFit="1" customWidth="1"/>
    <col min="53" max="60" width="8.88671875" style="14" bestFit="1" customWidth="1"/>
    <col min="61" max="75" width="8.88671875" style="14" customWidth="1"/>
    <col min="76" max="16384" width="8.6640625" style="14"/>
  </cols>
  <sheetData>
    <row r="2" spans="1:7" ht="21.6" thickBot="1" x14ac:dyDescent="0.45"/>
    <row r="3" spans="1:7" ht="21.6" thickBot="1" x14ac:dyDescent="0.45">
      <c r="B3" s="96" t="s">
        <v>33</v>
      </c>
      <c r="C3" s="90" t="s">
        <v>30</v>
      </c>
      <c r="D3" s="91" t="s">
        <v>31</v>
      </c>
      <c r="E3" s="92" t="s">
        <v>32</v>
      </c>
    </row>
    <row r="4" spans="1:7" ht="21.6" thickBot="1" x14ac:dyDescent="0.45">
      <c r="B4" s="89" t="s">
        <v>29</v>
      </c>
      <c r="C4" s="86">
        <f>IF(Simulador!F3="Masculino",SUM(Simulações!F3:F54),SUM(Simulações!H3:H54))</f>
        <v>5200.5</v>
      </c>
      <c r="D4" s="86">
        <f>C4*0.38%</f>
        <v>19.761900000000001</v>
      </c>
      <c r="E4" s="86">
        <f>C4+D4</f>
        <v>5220.2619000000004</v>
      </c>
      <c r="G4" s="88"/>
    </row>
    <row r="5" spans="1:7" ht="21.6" thickBot="1" x14ac:dyDescent="0.45">
      <c r="B5" s="89" t="s">
        <v>16</v>
      </c>
      <c r="C5" s="86">
        <f>Simulador!J14*Simulações!K3/1000</f>
        <v>0</v>
      </c>
      <c r="D5" s="86">
        <f>C5*0.38%</f>
        <v>0</v>
      </c>
      <c r="E5" s="86">
        <f>C5+D5</f>
        <v>0</v>
      </c>
      <c r="G5" s="76"/>
    </row>
    <row r="6" spans="1:7" s="15" customFormat="1" ht="21.6" thickBot="1" x14ac:dyDescent="0.45">
      <c r="A6" s="16"/>
      <c r="B6" s="89" t="s">
        <v>19</v>
      </c>
      <c r="C6" s="86">
        <f>Simulador!J16*Simulações!Y3/1000</f>
        <v>100</v>
      </c>
      <c r="D6" s="86">
        <f>C6*0.38%</f>
        <v>0.38</v>
      </c>
      <c r="E6" s="86">
        <f>C6+D6</f>
        <v>100.38</v>
      </c>
    </row>
    <row r="7" spans="1:7" ht="21.6" thickBot="1" x14ac:dyDescent="0.45">
      <c r="A7" s="16"/>
      <c r="B7" s="89" t="s">
        <v>28</v>
      </c>
      <c r="C7" s="86">
        <f>IF(Simulador!F3="Masculino",SUM(Simulações!AC3:AC54),SUM(Simulações!AE3:AE54))</f>
        <v>264</v>
      </c>
      <c r="D7" s="86">
        <f>C7*0.38%</f>
        <v>1.0032000000000001</v>
      </c>
      <c r="E7" s="86">
        <f>C7+D7</f>
        <v>265.00319999999999</v>
      </c>
    </row>
    <row r="8" spans="1:7" ht="21.6" thickBot="1" x14ac:dyDescent="0.45">
      <c r="A8" s="16"/>
      <c r="B8" s="89" t="s">
        <v>17</v>
      </c>
      <c r="C8" s="86">
        <f>IF(Simulador!F3="Masculino",SUM(Simulações!T3:T54),SUM(Simulações!V3:V54))</f>
        <v>560</v>
      </c>
      <c r="D8" s="86">
        <f>C8*0.38%</f>
        <v>2.1280000000000001</v>
      </c>
      <c r="E8" s="86">
        <f>C8+D8</f>
        <v>562.12800000000004</v>
      </c>
    </row>
    <row r="9" spans="1:7" ht="21.6" thickBot="1" x14ac:dyDescent="0.45">
      <c r="A9" s="16"/>
      <c r="B9" s="73" t="s">
        <v>21</v>
      </c>
      <c r="C9" s="87">
        <f>SUM(C4:C8)</f>
        <v>6124.5</v>
      </c>
      <c r="D9" s="87">
        <f>SUM(D4:D8)</f>
        <v>23.273099999999999</v>
      </c>
      <c r="E9" s="87">
        <f>SUM(E4:E8)</f>
        <v>6147.7731000000003</v>
      </c>
    </row>
    <row r="10" spans="1:7" x14ac:dyDescent="0.4">
      <c r="A10" s="16"/>
      <c r="B10" s="59"/>
      <c r="C10" s="17" t="s">
        <v>35</v>
      </c>
    </row>
    <row r="11" spans="1:7" ht="21.6" thickBot="1" x14ac:dyDescent="0.45">
      <c r="A11" s="16"/>
    </row>
    <row r="12" spans="1:7" ht="21.6" thickBot="1" x14ac:dyDescent="0.45">
      <c r="A12" s="16"/>
      <c r="B12" s="96" t="s">
        <v>34</v>
      </c>
      <c r="C12" s="90" t="s">
        <v>30</v>
      </c>
      <c r="D12" s="90" t="s">
        <v>31</v>
      </c>
      <c r="E12" s="91" t="s">
        <v>32</v>
      </c>
    </row>
    <row r="13" spans="1:7" ht="21.6" thickBot="1" x14ac:dyDescent="0.45">
      <c r="A13" s="16"/>
      <c r="B13" s="89" t="s">
        <v>29</v>
      </c>
      <c r="C13" s="94">
        <v>950</v>
      </c>
      <c r="D13" s="94">
        <f>C13*0.38%</f>
        <v>3.61</v>
      </c>
      <c r="E13" s="94">
        <f>C13+D13</f>
        <v>953.61</v>
      </c>
    </row>
    <row r="14" spans="1:7" ht="21.6" thickBot="1" x14ac:dyDescent="0.45">
      <c r="A14" s="16"/>
      <c r="B14" s="89" t="s">
        <v>16</v>
      </c>
      <c r="C14" s="94">
        <f>C5*0.09</f>
        <v>0</v>
      </c>
      <c r="D14" s="94">
        <f>C14*0.38%</f>
        <v>0</v>
      </c>
      <c r="E14" s="94">
        <f>C14+D14</f>
        <v>0</v>
      </c>
    </row>
    <row r="15" spans="1:7" ht="21.6" thickBot="1" x14ac:dyDescent="0.45">
      <c r="A15" s="16"/>
      <c r="B15" s="89" t="s">
        <v>19</v>
      </c>
      <c r="C15" s="94">
        <v>10</v>
      </c>
      <c r="D15" s="94">
        <f>C15*0.38%</f>
        <v>3.7999999999999999E-2</v>
      </c>
      <c r="E15" s="95">
        <f>C15+D15</f>
        <v>10.038</v>
      </c>
    </row>
    <row r="16" spans="1:7" ht="21.6" thickBot="1" x14ac:dyDescent="0.45">
      <c r="A16" s="16"/>
      <c r="B16" s="89" t="s">
        <v>28</v>
      </c>
      <c r="C16" s="94">
        <f>C7*0.09</f>
        <v>23.759999999999998</v>
      </c>
      <c r="D16" s="94">
        <f>C16*0.38%</f>
        <v>9.0287999999999993E-2</v>
      </c>
      <c r="E16" s="94">
        <f>C16+D16</f>
        <v>23.850287999999999</v>
      </c>
    </row>
    <row r="17" spans="1:6" ht="21.6" thickBot="1" x14ac:dyDescent="0.45">
      <c r="A17" s="16"/>
      <c r="B17" s="89" t="s">
        <v>17</v>
      </c>
      <c r="C17" s="94">
        <f>C8*0.09</f>
        <v>50.4</v>
      </c>
      <c r="D17" s="94">
        <f>C17*0.38%</f>
        <v>0.19152</v>
      </c>
      <c r="E17" s="94">
        <f>C17+D17</f>
        <v>50.591519999999996</v>
      </c>
      <c r="F17" s="92" t="s">
        <v>36</v>
      </c>
    </row>
    <row r="18" spans="1:6" ht="21.6" thickBot="1" x14ac:dyDescent="0.45">
      <c r="A18" s="16"/>
      <c r="B18" s="73" t="s">
        <v>21</v>
      </c>
      <c r="C18" s="93">
        <f>SUM(C13:C17)</f>
        <v>1034.1600000000001</v>
      </c>
      <c r="D18" s="93">
        <f>SUM(D13:D17)</f>
        <v>3.929808</v>
      </c>
      <c r="E18" s="93">
        <f>SUM(E13:E17)</f>
        <v>1038.0898079999999</v>
      </c>
      <c r="F18" s="93">
        <f>E18*12</f>
        <v>12457.077696</v>
      </c>
    </row>
    <row r="19" spans="1:6" x14ac:dyDescent="0.4">
      <c r="A19" s="16"/>
      <c r="B19" s="75"/>
      <c r="C19" s="75"/>
    </row>
    <row r="20" spans="1:6" x14ac:dyDescent="0.4">
      <c r="A20" s="16"/>
      <c r="B20" s="75"/>
      <c r="C20" s="75"/>
    </row>
    <row r="21" spans="1:6" x14ac:dyDescent="0.4">
      <c r="A21" s="16"/>
      <c r="B21" s="75"/>
      <c r="C21" s="75"/>
    </row>
    <row r="22" spans="1:6" x14ac:dyDescent="0.4">
      <c r="A22" s="16"/>
      <c r="B22" s="75"/>
      <c r="C22" s="75"/>
    </row>
    <row r="23" spans="1:6" x14ac:dyDescent="0.4">
      <c r="A23" s="16"/>
      <c r="B23" s="75"/>
      <c r="C23" s="75"/>
    </row>
    <row r="24" spans="1:6" x14ac:dyDescent="0.4">
      <c r="A24" s="16"/>
      <c r="B24" s="75"/>
      <c r="C24" s="75"/>
    </row>
    <row r="25" spans="1:6" x14ac:dyDescent="0.4">
      <c r="A25" s="16"/>
      <c r="B25" s="75"/>
      <c r="C25" s="75"/>
    </row>
    <row r="26" spans="1:6" x14ac:dyDescent="0.4">
      <c r="A26" s="16"/>
      <c r="B26" s="75"/>
      <c r="C26" s="75"/>
    </row>
    <row r="27" spans="1:6" x14ac:dyDescent="0.4">
      <c r="A27" s="16"/>
      <c r="B27" s="75"/>
      <c r="C27" s="75"/>
    </row>
    <row r="28" spans="1:6" x14ac:dyDescent="0.4">
      <c r="A28" s="16"/>
      <c r="B28" s="75"/>
      <c r="C28" s="75"/>
    </row>
    <row r="29" spans="1:6" x14ac:dyDescent="0.4">
      <c r="A29" s="16"/>
      <c r="B29" s="75"/>
      <c r="C29" s="75"/>
    </row>
    <row r="30" spans="1:6" x14ac:dyDescent="0.4">
      <c r="A30" s="16"/>
      <c r="B30" s="75"/>
      <c r="C30" s="75"/>
    </row>
    <row r="31" spans="1:6" x14ac:dyDescent="0.4">
      <c r="A31" s="16"/>
      <c r="B31" s="75"/>
      <c r="C31" s="75"/>
    </row>
    <row r="32" spans="1:6" x14ac:dyDescent="0.4">
      <c r="A32" s="16"/>
      <c r="B32" s="75"/>
      <c r="C32" s="75"/>
    </row>
    <row r="33" spans="1:3" x14ac:dyDescent="0.4">
      <c r="A33" s="16"/>
      <c r="B33" s="75"/>
      <c r="C33" s="75"/>
    </row>
    <row r="34" spans="1:3" x14ac:dyDescent="0.4">
      <c r="A34" s="16"/>
      <c r="B34" s="75"/>
      <c r="C34" s="75"/>
    </row>
    <row r="35" spans="1:3" x14ac:dyDescent="0.4">
      <c r="A35" s="16"/>
      <c r="B35" s="75"/>
      <c r="C35" s="75"/>
    </row>
    <row r="36" spans="1:3" x14ac:dyDescent="0.4">
      <c r="A36" s="16"/>
      <c r="B36" s="75"/>
      <c r="C36" s="75"/>
    </row>
    <row r="37" spans="1:3" x14ac:dyDescent="0.4">
      <c r="A37" s="16"/>
      <c r="B37" s="75"/>
      <c r="C37" s="75"/>
    </row>
    <row r="38" spans="1:3" x14ac:dyDescent="0.4">
      <c r="A38" s="16"/>
      <c r="B38" s="75"/>
      <c r="C38" s="75"/>
    </row>
    <row r="39" spans="1:3" x14ac:dyDescent="0.4">
      <c r="A39" s="16"/>
      <c r="B39" s="75"/>
      <c r="C39" s="75"/>
    </row>
    <row r="40" spans="1:3" x14ac:dyDescent="0.4">
      <c r="A40" s="16"/>
      <c r="B40" s="75"/>
      <c r="C40" s="75"/>
    </row>
    <row r="41" spans="1:3" x14ac:dyDescent="0.4">
      <c r="A41" s="16"/>
      <c r="B41" s="75"/>
      <c r="C41" s="75"/>
    </row>
    <row r="42" spans="1:3" x14ac:dyDescent="0.4">
      <c r="A42" s="16"/>
      <c r="B42" s="75"/>
      <c r="C42" s="75"/>
    </row>
    <row r="43" spans="1:3" x14ac:dyDescent="0.4">
      <c r="A43" s="16"/>
      <c r="B43" s="75"/>
      <c r="C43" s="75"/>
    </row>
    <row r="44" spans="1:3" x14ac:dyDescent="0.4">
      <c r="A44" s="16"/>
      <c r="B44" s="75"/>
      <c r="C44" s="75"/>
    </row>
    <row r="45" spans="1:3" x14ac:dyDescent="0.4">
      <c r="A45" s="16"/>
      <c r="B45" s="75"/>
      <c r="C45" s="75"/>
    </row>
    <row r="46" spans="1:3" x14ac:dyDescent="0.4">
      <c r="A46" s="16"/>
      <c r="B46" s="75"/>
      <c r="C46" s="75"/>
    </row>
    <row r="47" spans="1:3" x14ac:dyDescent="0.4">
      <c r="A47" s="16"/>
      <c r="B47" s="75"/>
      <c r="C47" s="75"/>
    </row>
    <row r="48" spans="1:3" x14ac:dyDescent="0.4">
      <c r="A48" s="16"/>
      <c r="B48" s="75"/>
      <c r="C48" s="75"/>
    </row>
    <row r="49" spans="1:3" x14ac:dyDescent="0.4">
      <c r="A49" s="16"/>
      <c r="B49" s="75"/>
      <c r="C49" s="75"/>
    </row>
    <row r="50" spans="1:3" x14ac:dyDescent="0.4">
      <c r="A50" s="16"/>
      <c r="B50" s="75"/>
      <c r="C50" s="75"/>
    </row>
    <row r="51" spans="1:3" x14ac:dyDescent="0.4">
      <c r="A51" s="16"/>
      <c r="B51" s="75"/>
      <c r="C51" s="75"/>
    </row>
    <row r="52" spans="1:3" x14ac:dyDescent="0.4">
      <c r="A52" s="16"/>
      <c r="B52" s="75"/>
      <c r="C52" s="75"/>
    </row>
    <row r="53" spans="1:3" x14ac:dyDescent="0.4">
      <c r="A53" s="16"/>
      <c r="B53" s="75"/>
      <c r="C53" s="75"/>
    </row>
    <row r="54" spans="1:3" x14ac:dyDescent="0.4">
      <c r="A54" s="16"/>
      <c r="B54" s="75"/>
      <c r="C54" s="75"/>
    </row>
    <row r="55" spans="1:3" x14ac:dyDescent="0.4">
      <c r="A55" s="16"/>
      <c r="B55" s="75"/>
      <c r="C55" s="75"/>
    </row>
    <row r="56" spans="1:3" x14ac:dyDescent="0.4">
      <c r="A56" s="16"/>
      <c r="B56" s="75"/>
      <c r="C56" s="75"/>
    </row>
    <row r="57" spans="1:3" x14ac:dyDescent="0.4">
      <c r="A57" s="16"/>
      <c r="B57" s="75"/>
      <c r="C57" s="75"/>
    </row>
    <row r="58" spans="1:3" x14ac:dyDescent="0.4">
      <c r="A58" s="16"/>
      <c r="B58" s="75"/>
      <c r="C58" s="75"/>
    </row>
    <row r="59" spans="1:3" x14ac:dyDescent="0.4">
      <c r="A59" s="16"/>
      <c r="B59" s="75"/>
      <c r="C59" s="75"/>
    </row>
    <row r="60" spans="1:3" x14ac:dyDescent="0.4">
      <c r="A60" s="16"/>
      <c r="B60" s="75"/>
      <c r="C60" s="75"/>
    </row>
    <row r="61" spans="1:3" x14ac:dyDescent="0.4">
      <c r="A61" s="16"/>
      <c r="B61" s="75"/>
      <c r="C61" s="75"/>
    </row>
    <row r="62" spans="1:3" x14ac:dyDescent="0.4">
      <c r="A62" s="16"/>
      <c r="B62" s="75"/>
      <c r="C62" s="75"/>
    </row>
    <row r="63" spans="1:3" x14ac:dyDescent="0.4">
      <c r="A63" s="16"/>
      <c r="B63" s="75"/>
      <c r="C63" s="75"/>
    </row>
    <row r="64" spans="1:3" x14ac:dyDescent="0.4">
      <c r="A64" s="16"/>
      <c r="B64" s="75"/>
      <c r="C64" s="75"/>
    </row>
    <row r="65" spans="1:3" x14ac:dyDescent="0.4">
      <c r="A65" s="16"/>
      <c r="B65" s="75"/>
      <c r="C65" s="75"/>
    </row>
    <row r="66" spans="1:3" x14ac:dyDescent="0.4">
      <c r="A66" s="16"/>
      <c r="B66" s="75"/>
      <c r="C66" s="75"/>
    </row>
    <row r="67" spans="1:3" x14ac:dyDescent="0.4">
      <c r="A67" s="16"/>
      <c r="B67" s="75"/>
      <c r="C67" s="75"/>
    </row>
    <row r="68" spans="1:3" x14ac:dyDescent="0.4">
      <c r="A68" s="16"/>
      <c r="B68" s="75"/>
      <c r="C68" s="75"/>
    </row>
    <row r="69" spans="1:3" x14ac:dyDescent="0.4">
      <c r="A69" s="16"/>
      <c r="B69" s="75"/>
      <c r="C69" s="75"/>
    </row>
    <row r="70" spans="1:3" x14ac:dyDescent="0.4">
      <c r="A70" s="16"/>
      <c r="B70" s="75"/>
      <c r="C70" s="75"/>
    </row>
    <row r="71" spans="1:3" x14ac:dyDescent="0.4">
      <c r="A71" s="16"/>
      <c r="B71" s="75"/>
      <c r="C71" s="75"/>
    </row>
    <row r="72" spans="1:3" x14ac:dyDescent="0.4">
      <c r="A72" s="16"/>
      <c r="B72" s="75"/>
      <c r="C72" s="75"/>
    </row>
    <row r="73" spans="1:3" x14ac:dyDescent="0.4">
      <c r="A73" s="16"/>
      <c r="B73" s="75"/>
      <c r="C73" s="75"/>
    </row>
    <row r="74" spans="1:3" x14ac:dyDescent="0.4">
      <c r="A74" s="16"/>
      <c r="B74" s="75"/>
      <c r="C74" s="75"/>
    </row>
    <row r="75" spans="1:3" x14ac:dyDescent="0.4">
      <c r="A75" s="16"/>
      <c r="B75" s="75"/>
      <c r="C75" s="75"/>
    </row>
    <row r="76" spans="1:3" x14ac:dyDescent="0.4">
      <c r="A76" s="16"/>
      <c r="B76" s="75"/>
      <c r="C76" s="75"/>
    </row>
    <row r="77" spans="1:3" x14ac:dyDescent="0.4">
      <c r="A77" s="16"/>
      <c r="B77" s="75"/>
      <c r="C77" s="75"/>
    </row>
    <row r="78" spans="1:3" x14ac:dyDescent="0.4">
      <c r="A78" s="16"/>
      <c r="B78" s="75"/>
      <c r="C78" s="75"/>
    </row>
    <row r="79" spans="1:3" x14ac:dyDescent="0.4">
      <c r="A79" s="16"/>
      <c r="B79" s="75"/>
      <c r="C79" s="75"/>
    </row>
    <row r="80" spans="1:3" x14ac:dyDescent="0.4">
      <c r="A80" s="16"/>
      <c r="B80" s="75"/>
      <c r="C80" s="75"/>
    </row>
    <row r="81" spans="1:3" x14ac:dyDescent="0.4">
      <c r="A81" s="16"/>
      <c r="B81" s="75"/>
      <c r="C81" s="75"/>
    </row>
    <row r="82" spans="1:3" x14ac:dyDescent="0.4">
      <c r="A82" s="16"/>
      <c r="B82" s="75"/>
      <c r="C82" s="75"/>
    </row>
    <row r="83" spans="1:3" x14ac:dyDescent="0.4">
      <c r="A83" s="16"/>
      <c r="B83" s="75"/>
      <c r="C83" s="75"/>
    </row>
    <row r="84" spans="1:3" x14ac:dyDescent="0.4">
      <c r="A84" s="16"/>
      <c r="B84" s="75"/>
      <c r="C84" s="75"/>
    </row>
    <row r="85" spans="1:3" x14ac:dyDescent="0.4">
      <c r="A85" s="16"/>
      <c r="B85" s="75"/>
      <c r="C85" s="75"/>
    </row>
    <row r="86" spans="1:3" x14ac:dyDescent="0.4">
      <c r="A86" s="16"/>
      <c r="B86" s="75"/>
      <c r="C86" s="75"/>
    </row>
    <row r="87" spans="1:3" x14ac:dyDescent="0.4">
      <c r="A87" s="16"/>
      <c r="B87" s="75"/>
      <c r="C87" s="7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autoPageBreaks="0"/>
  </sheetPr>
  <dimension ref="A1:AY64"/>
  <sheetViews>
    <sheetView zoomScale="85" zoomScaleNormal="85" zoomScalePageLayoutView="85" workbookViewId="0">
      <selection activeCell="E7" sqref="E7"/>
    </sheetView>
  </sheetViews>
  <sheetFormatPr defaultColWidth="8.88671875" defaultRowHeight="14.4" x14ac:dyDescent="0.3"/>
  <cols>
    <col min="1" max="1" width="6.109375" bestFit="1" customWidth="1"/>
    <col min="2" max="3" width="7.88671875" bestFit="1" customWidth="1"/>
    <col min="4" max="4" width="10.88671875" customWidth="1"/>
    <col min="5" max="5" width="16.44140625" bestFit="1" customWidth="1"/>
    <col min="6" max="6" width="13.33203125" bestFit="1" customWidth="1"/>
    <col min="7" max="7" width="16.44140625" bestFit="1" customWidth="1"/>
    <col min="8" max="8" width="13.33203125" bestFit="1" customWidth="1"/>
    <col min="11" max="11" width="17.44140625" customWidth="1"/>
    <col min="13" max="13" width="16.44140625" bestFit="1" customWidth="1"/>
    <col min="18" max="18" width="12.109375" bestFit="1" customWidth="1"/>
    <col min="19" max="19" width="24.109375" bestFit="1" customWidth="1"/>
    <col min="20" max="20" width="12.33203125" bestFit="1" customWidth="1"/>
    <col min="21" max="21" width="24.109375" bestFit="1" customWidth="1"/>
    <col min="22" max="22" width="12.33203125" bestFit="1" customWidth="1"/>
    <col min="23" max="23" width="10.6640625" customWidth="1"/>
    <col min="25" max="25" width="16.88671875" customWidth="1"/>
    <col min="28" max="28" width="17" bestFit="1" customWidth="1"/>
    <col min="29" max="29" width="15.44140625" bestFit="1" customWidth="1"/>
    <col min="30" max="30" width="17" bestFit="1" customWidth="1"/>
    <col min="31" max="31" width="11.6640625" bestFit="1" customWidth="1"/>
    <col min="47" max="47" width="10.44140625" bestFit="1" customWidth="1"/>
    <col min="48" max="48" width="24.109375" bestFit="1" customWidth="1"/>
    <col min="50" max="50" width="24.109375" bestFit="1" customWidth="1"/>
  </cols>
  <sheetData>
    <row r="1" spans="1:51" ht="18" customHeight="1" thickTop="1" thickBot="1" x14ac:dyDescent="0.35">
      <c r="A1" s="170" t="s">
        <v>4</v>
      </c>
      <c r="B1" s="13" t="s">
        <v>11</v>
      </c>
      <c r="C1" s="13" t="s">
        <v>11</v>
      </c>
      <c r="D1" s="11" t="s">
        <v>10</v>
      </c>
      <c r="E1" s="10" t="s">
        <v>9</v>
      </c>
      <c r="F1" s="10"/>
      <c r="G1" s="10" t="s">
        <v>8</v>
      </c>
      <c r="H1" s="10"/>
      <c r="J1" s="172" t="s">
        <v>4</v>
      </c>
      <c r="K1" s="174" t="s">
        <v>16</v>
      </c>
      <c r="L1" s="175"/>
      <c r="O1" s="172" t="s">
        <v>4</v>
      </c>
      <c r="P1" s="180" t="s">
        <v>17</v>
      </c>
      <c r="Q1" s="175"/>
      <c r="S1" s="10"/>
      <c r="T1" s="10"/>
      <c r="U1" s="10"/>
      <c r="V1" s="10"/>
      <c r="W1" s="10"/>
      <c r="X1" s="172" t="s">
        <v>4</v>
      </c>
      <c r="Y1" s="174" t="s">
        <v>18</v>
      </c>
      <c r="Z1" s="175"/>
      <c r="AF1" s="178" t="s">
        <v>4</v>
      </c>
      <c r="AG1" s="176" t="s">
        <v>25</v>
      </c>
      <c r="AH1" s="177"/>
      <c r="AL1" s="178" t="s">
        <v>4</v>
      </c>
      <c r="AM1" s="176" t="s">
        <v>26</v>
      </c>
      <c r="AN1" s="177"/>
      <c r="AR1" s="166" t="s">
        <v>4</v>
      </c>
      <c r="AS1" s="168" t="s">
        <v>37</v>
      </c>
      <c r="AT1" s="169"/>
      <c r="AU1" s="11" t="s">
        <v>10</v>
      </c>
      <c r="AV1" s="10" t="s">
        <v>38</v>
      </c>
      <c r="AW1" s="10"/>
      <c r="AX1" s="10" t="s">
        <v>39</v>
      </c>
    </row>
    <row r="2" spans="1:51" ht="17.25" customHeight="1" thickBot="1" x14ac:dyDescent="0.35">
      <c r="A2" s="171"/>
      <c r="B2" s="12" t="s">
        <v>7</v>
      </c>
      <c r="C2" s="12" t="s">
        <v>6</v>
      </c>
      <c r="D2" s="11" t="s">
        <v>5</v>
      </c>
      <c r="E2" s="10" t="s">
        <v>4</v>
      </c>
      <c r="F2" s="10"/>
      <c r="G2" s="10" t="s">
        <v>4</v>
      </c>
      <c r="H2" s="10"/>
      <c r="J2" s="173"/>
      <c r="K2" s="18" t="s">
        <v>7</v>
      </c>
      <c r="L2" s="19" t="s">
        <v>6</v>
      </c>
      <c r="O2" s="173"/>
      <c r="P2" s="20" t="s">
        <v>7</v>
      </c>
      <c r="Q2" s="19" t="s">
        <v>6</v>
      </c>
      <c r="R2" s="32"/>
      <c r="S2" s="33" t="s">
        <v>10</v>
      </c>
      <c r="T2" s="33"/>
      <c r="U2" s="33" t="s">
        <v>5</v>
      </c>
      <c r="V2" s="33"/>
      <c r="W2" s="10"/>
      <c r="X2" s="173"/>
      <c r="Y2" s="18" t="s">
        <v>7</v>
      </c>
      <c r="Z2" s="19" t="s">
        <v>6</v>
      </c>
      <c r="AB2" t="s">
        <v>27</v>
      </c>
      <c r="AD2" t="s">
        <v>5</v>
      </c>
      <c r="AF2" s="179"/>
      <c r="AG2" s="77" t="s">
        <v>24</v>
      </c>
      <c r="AH2" s="78" t="s">
        <v>6</v>
      </c>
      <c r="AL2" s="179"/>
      <c r="AM2" s="77" t="s">
        <v>24</v>
      </c>
      <c r="AN2" s="78" t="s">
        <v>6</v>
      </c>
      <c r="AR2" s="167"/>
      <c r="AS2" s="97" t="s">
        <v>7</v>
      </c>
      <c r="AT2" s="98" t="s">
        <v>6</v>
      </c>
      <c r="AU2" s="108" t="s">
        <v>5</v>
      </c>
      <c r="AV2" s="10" t="s">
        <v>4</v>
      </c>
      <c r="AW2" s="10"/>
      <c r="AX2" s="10" t="s">
        <v>4</v>
      </c>
    </row>
    <row r="3" spans="1:51" ht="15.6" thickTop="1" thickBot="1" x14ac:dyDescent="0.35">
      <c r="A3" s="5">
        <v>14</v>
      </c>
      <c r="B3" s="4">
        <v>24.400000000000002</v>
      </c>
      <c r="C3" s="4">
        <v>21.27</v>
      </c>
      <c r="E3" s="9">
        <f>Simulador!C3</f>
        <v>28</v>
      </c>
      <c r="F3" t="str">
        <f t="shared" ref="F3:F34" si="0">IF($E$3=A3,$E$5*B3,"")</f>
        <v/>
      </c>
      <c r="G3" s="9">
        <f>Simulador!C3</f>
        <v>28</v>
      </c>
      <c r="H3" s="1" t="str">
        <f t="shared" ref="H3:H34" si="1">IF($G$3=A3,$G$5*C3,"")</f>
        <v/>
      </c>
      <c r="J3" s="42">
        <v>14</v>
      </c>
      <c r="K3" s="43">
        <v>1.08</v>
      </c>
      <c r="L3" s="44">
        <v>1.08</v>
      </c>
      <c r="O3" s="21">
        <v>14</v>
      </c>
      <c r="P3" s="22">
        <v>0.56000000000000005</v>
      </c>
      <c r="Q3" s="23">
        <v>0.56000000000000005</v>
      </c>
      <c r="R3" s="54">
        <f>P3-Q3</f>
        <v>0</v>
      </c>
      <c r="S3" s="34">
        <f>Simulador!C3</f>
        <v>28</v>
      </c>
      <c r="T3" s="35" t="str">
        <f>IF($S$3=O3,$S$5*P3,"")</f>
        <v/>
      </c>
      <c r="U3" s="34">
        <f>Simulador!C3</f>
        <v>28</v>
      </c>
      <c r="V3" s="35" t="str">
        <f>IF($U$3=O3,$U$5*Q3,"")</f>
        <v/>
      </c>
      <c r="W3" s="1"/>
      <c r="X3" s="55">
        <v>14</v>
      </c>
      <c r="Y3" s="56">
        <v>0.5</v>
      </c>
      <c r="Z3" s="57">
        <v>0.5</v>
      </c>
      <c r="AB3">
        <f>Simulador!C3</f>
        <v>28</v>
      </c>
      <c r="AC3" s="1" t="str">
        <f>IF($AB$3=AF3,$AB$5*AG3,"")</f>
        <v/>
      </c>
      <c r="AD3">
        <f>Simulador!C3</f>
        <v>28</v>
      </c>
      <c r="AE3" s="1" t="str">
        <f>IF($AD$3=AF3,$AD$5*AH3,"")</f>
        <v/>
      </c>
      <c r="AF3" s="79">
        <v>14</v>
      </c>
      <c r="AG3" s="80">
        <v>0.62</v>
      </c>
      <c r="AH3" s="81">
        <v>0.61</v>
      </c>
      <c r="AL3" s="79">
        <v>14</v>
      </c>
      <c r="AM3" s="80">
        <v>0.48000000000000004</v>
      </c>
      <c r="AN3" s="81">
        <v>0.49</v>
      </c>
      <c r="AR3" s="99">
        <v>14</v>
      </c>
      <c r="AS3" s="100">
        <v>18.05</v>
      </c>
      <c r="AT3" s="101">
        <v>15.95</v>
      </c>
      <c r="AV3" s="9">
        <f>Simulador!C3</f>
        <v>28</v>
      </c>
      <c r="AW3" t="str">
        <f>IF($AV$3=AR3,$AV$5*AS3,"")</f>
        <v/>
      </c>
      <c r="AX3" s="9">
        <f>Simulador!C3</f>
        <v>28</v>
      </c>
      <c r="AY3" t="str">
        <f>IF($AX$3=AR3,$AX$5*AT3,"")</f>
        <v/>
      </c>
    </row>
    <row r="4" spans="1:51" ht="17.25" customHeight="1" x14ac:dyDescent="0.3">
      <c r="A4" s="5">
        <v>15</v>
      </c>
      <c r="B4" s="4">
        <v>25.03</v>
      </c>
      <c r="C4" s="4">
        <v>21.83</v>
      </c>
      <c r="E4" s="8" t="s">
        <v>1</v>
      </c>
      <c r="F4" t="str">
        <f t="shared" si="0"/>
        <v/>
      </c>
      <c r="G4" s="8" t="s">
        <v>1</v>
      </c>
      <c r="H4" s="1" t="str">
        <f t="shared" si="1"/>
        <v/>
      </c>
      <c r="J4" s="45"/>
      <c r="K4" s="46"/>
      <c r="L4" s="47"/>
      <c r="O4" s="24">
        <f t="shared" ref="O4:O54" si="2">O3+1</f>
        <v>15</v>
      </c>
      <c r="P4" s="25">
        <v>0.56000000000000005</v>
      </c>
      <c r="Q4" s="26">
        <v>0.56000000000000005</v>
      </c>
      <c r="R4" s="54">
        <f t="shared" ref="R4:R54" si="3">P4-Q4</f>
        <v>0</v>
      </c>
      <c r="S4" s="36" t="s">
        <v>1</v>
      </c>
      <c r="T4" s="35" t="str">
        <f t="shared" ref="T4:T54" si="4">IF($S$3=O4,$S$5*P4,"")</f>
        <v/>
      </c>
      <c r="U4" s="36" t="s">
        <v>1</v>
      </c>
      <c r="V4" s="35" t="str">
        <f t="shared" ref="V4:V54" si="5">IF($U$3=O4,$U$5*Q4,"")</f>
        <v/>
      </c>
      <c r="W4" s="1"/>
      <c r="X4" s="45"/>
      <c r="Y4" s="46"/>
      <c r="Z4" s="47"/>
      <c r="AB4" t="s">
        <v>1</v>
      </c>
      <c r="AC4" s="1" t="str">
        <f t="shared" ref="AC4:AC54" si="6">IF($AB$3=AF4,$AB$5*AG4,"")</f>
        <v/>
      </c>
      <c r="AD4" t="s">
        <v>1</v>
      </c>
      <c r="AE4" s="1" t="str">
        <f t="shared" ref="AE4:AE54" si="7">IF($AD$3=AF4,$AD$5*AH4,"")</f>
        <v/>
      </c>
      <c r="AF4" s="79">
        <f t="shared" ref="AF4:AF54" si="8">AF3+1</f>
        <v>15</v>
      </c>
      <c r="AG4" s="80">
        <v>0.62</v>
      </c>
      <c r="AH4" s="81">
        <v>0.61</v>
      </c>
      <c r="AL4" s="79">
        <f t="shared" ref="AL4:AL54" si="9">AL3+1</f>
        <v>15</v>
      </c>
      <c r="AM4" s="80">
        <v>0.48000000000000004</v>
      </c>
      <c r="AN4" s="81">
        <v>0.49</v>
      </c>
      <c r="AR4" s="99">
        <v>15</v>
      </c>
      <c r="AS4" s="100">
        <v>18.509999999999998</v>
      </c>
      <c r="AT4" s="101">
        <v>16.369999999999997</v>
      </c>
      <c r="AV4" s="8" t="s">
        <v>1</v>
      </c>
      <c r="AW4" t="str">
        <f t="shared" ref="AW4:AW64" si="10">IF($AV$3=AR4,$AV$5*AS4,"")</f>
        <v/>
      </c>
      <c r="AX4" s="8" t="s">
        <v>1</v>
      </c>
      <c r="AY4" t="str">
        <f t="shared" ref="AY4:AY64" si="11">IF($AX$3=AR4,$AX$5*AT4,"")</f>
        <v/>
      </c>
    </row>
    <row r="5" spans="1:51" x14ac:dyDescent="0.3">
      <c r="A5" s="5">
        <v>16</v>
      </c>
      <c r="B5" s="4">
        <v>25.66</v>
      </c>
      <c r="C5" s="4">
        <v>22.4</v>
      </c>
      <c r="E5" s="7">
        <f>Simulador!E3/1000</f>
        <v>150</v>
      </c>
      <c r="F5" t="str">
        <f t="shared" si="0"/>
        <v/>
      </c>
      <c r="G5" s="7">
        <f>Simulador!E3/1000</f>
        <v>150</v>
      </c>
      <c r="H5" s="1" t="str">
        <f t="shared" si="1"/>
        <v/>
      </c>
      <c r="J5" s="48"/>
      <c r="K5" s="10" t="s">
        <v>4</v>
      </c>
      <c r="L5" s="49"/>
      <c r="O5" s="24">
        <f t="shared" si="2"/>
        <v>16</v>
      </c>
      <c r="P5" s="25">
        <v>0.56000000000000005</v>
      </c>
      <c r="Q5" s="26">
        <v>0.56000000000000005</v>
      </c>
      <c r="R5" s="54">
        <f t="shared" si="3"/>
        <v>0</v>
      </c>
      <c r="S5" s="37">
        <f>Simulador!J20</f>
        <v>1000</v>
      </c>
      <c r="T5" s="35" t="str">
        <f t="shared" si="4"/>
        <v/>
      </c>
      <c r="U5" s="37">
        <f>Simulador!J20</f>
        <v>1000</v>
      </c>
      <c r="V5" s="35" t="str">
        <f t="shared" si="5"/>
        <v/>
      </c>
      <c r="W5" s="1"/>
      <c r="X5" s="48"/>
      <c r="Y5" s="10" t="s">
        <v>4</v>
      </c>
      <c r="Z5" s="49"/>
      <c r="AB5">
        <f>Simulador!J18/1000</f>
        <v>200</v>
      </c>
      <c r="AC5" s="1" t="str">
        <f t="shared" si="6"/>
        <v/>
      </c>
      <c r="AD5">
        <f>Simulador!J18/1000</f>
        <v>200</v>
      </c>
      <c r="AE5" s="1" t="str">
        <f t="shared" si="7"/>
        <v/>
      </c>
      <c r="AF5" s="79">
        <f t="shared" si="8"/>
        <v>16</v>
      </c>
      <c r="AG5" s="80">
        <v>0.62</v>
      </c>
      <c r="AH5" s="81">
        <v>0.61</v>
      </c>
      <c r="AL5" s="79">
        <f t="shared" si="9"/>
        <v>16</v>
      </c>
      <c r="AM5" s="80">
        <v>0.48000000000000004</v>
      </c>
      <c r="AN5" s="81">
        <v>0.49</v>
      </c>
      <c r="AR5" s="99">
        <v>16</v>
      </c>
      <c r="AS5" s="100">
        <v>18.970000000000002</v>
      </c>
      <c r="AT5" s="101">
        <v>16.8</v>
      </c>
      <c r="AV5" s="7">
        <f>Simulador!E3/1000</f>
        <v>150</v>
      </c>
      <c r="AW5" t="str">
        <f t="shared" si="10"/>
        <v/>
      </c>
      <c r="AX5" s="7">
        <f>Simulador!E3/1000</f>
        <v>150</v>
      </c>
      <c r="AY5" t="str">
        <f t="shared" si="11"/>
        <v/>
      </c>
    </row>
    <row r="6" spans="1:51" x14ac:dyDescent="0.3">
      <c r="A6" s="5">
        <v>17</v>
      </c>
      <c r="B6" s="4">
        <v>26.28</v>
      </c>
      <c r="C6" s="4">
        <v>22.99</v>
      </c>
      <c r="E6" s="6" t="s">
        <v>3</v>
      </c>
      <c r="F6" t="str">
        <f t="shared" si="0"/>
        <v/>
      </c>
      <c r="G6" s="6" t="s">
        <v>3</v>
      </c>
      <c r="H6" s="1" t="str">
        <f t="shared" si="1"/>
        <v/>
      </c>
      <c r="J6" s="48"/>
      <c r="K6" s="9">
        <f>G3</f>
        <v>28</v>
      </c>
      <c r="L6" s="49"/>
      <c r="O6" s="24">
        <f t="shared" si="2"/>
        <v>17</v>
      </c>
      <c r="P6" s="25">
        <v>0.56000000000000005</v>
      </c>
      <c r="Q6" s="26">
        <v>0.56000000000000005</v>
      </c>
      <c r="R6" s="54">
        <f t="shared" si="3"/>
        <v>0</v>
      </c>
      <c r="S6" s="38" t="s">
        <v>3</v>
      </c>
      <c r="T6" s="35" t="str">
        <f t="shared" si="4"/>
        <v/>
      </c>
      <c r="U6" s="38" t="s">
        <v>3</v>
      </c>
      <c r="V6" s="35" t="str">
        <f t="shared" si="5"/>
        <v/>
      </c>
      <c r="W6" s="1"/>
      <c r="X6" s="48"/>
      <c r="Y6" s="9">
        <f>U3</f>
        <v>28</v>
      </c>
      <c r="Z6" s="49"/>
      <c r="AB6" t="s">
        <v>3</v>
      </c>
      <c r="AC6" s="1" t="str">
        <f t="shared" si="6"/>
        <v/>
      </c>
      <c r="AD6" t="s">
        <v>3</v>
      </c>
      <c r="AE6" s="1" t="str">
        <f t="shared" si="7"/>
        <v/>
      </c>
      <c r="AF6" s="79">
        <f t="shared" si="8"/>
        <v>17</v>
      </c>
      <c r="AG6" s="80">
        <v>0.63</v>
      </c>
      <c r="AH6" s="81">
        <v>0.62</v>
      </c>
      <c r="AL6" s="79">
        <f t="shared" si="9"/>
        <v>17</v>
      </c>
      <c r="AM6" s="80">
        <v>0.48000000000000004</v>
      </c>
      <c r="AN6" s="81">
        <v>0.5</v>
      </c>
      <c r="AR6" s="99">
        <v>17</v>
      </c>
      <c r="AS6" s="100">
        <v>19.439999999999998</v>
      </c>
      <c r="AT6" s="101">
        <v>17.239999999999998</v>
      </c>
      <c r="AV6" s="6" t="s">
        <v>3</v>
      </c>
      <c r="AW6" t="str">
        <f t="shared" si="10"/>
        <v/>
      </c>
      <c r="AX6" s="6" t="s">
        <v>3</v>
      </c>
      <c r="AY6" t="str">
        <f t="shared" si="11"/>
        <v/>
      </c>
    </row>
    <row r="7" spans="1:51" x14ac:dyDescent="0.3">
      <c r="A7" s="5">
        <v>18</v>
      </c>
      <c r="B7" s="4">
        <v>26.91</v>
      </c>
      <c r="C7" s="4">
        <v>23.59</v>
      </c>
      <c r="E7" s="1">
        <f>(IF(F3:F54&lt;=0,"",SUM(F3:F54))*0.38%+(IF(F3:F54&lt;=0,"",SUM(F3:F54))))</f>
        <v>5220.2619000000004</v>
      </c>
      <c r="F7" t="str">
        <f t="shared" si="0"/>
        <v/>
      </c>
      <c r="G7" s="1">
        <f>IF(H3:H54&lt;=0,"",SUM(H3:H54))*0.38%+(IF(H3:H54&lt;=0,"",SUM(H3:H54)))</f>
        <v>4700.7954</v>
      </c>
      <c r="H7" s="1" t="str">
        <f t="shared" si="1"/>
        <v/>
      </c>
      <c r="J7" s="48"/>
      <c r="K7" s="8" t="s">
        <v>1</v>
      </c>
      <c r="L7" s="49"/>
      <c r="O7" s="24">
        <f t="shared" si="2"/>
        <v>18</v>
      </c>
      <c r="P7" s="25">
        <v>0.56000000000000005</v>
      </c>
      <c r="Q7" s="26">
        <v>0.56000000000000005</v>
      </c>
      <c r="R7" s="54">
        <f t="shared" si="3"/>
        <v>0</v>
      </c>
      <c r="S7" s="35">
        <f>IF(OR(S5&lt;300,S5&gt;1500,),"Máximo 1.500,00",(IF(T3:T54&lt;=0,"",SUM(T3:T54)))*0.38%+(IF(T3:T54&lt;=0,"",SUM(T3:T54))))</f>
        <v>562.12800000000004</v>
      </c>
      <c r="T7" s="35" t="str">
        <f t="shared" si="4"/>
        <v/>
      </c>
      <c r="U7" s="35">
        <f>IF(OR(U5&lt;300,U5&gt;1500,),"Máximo 1.500,00",(IF(V3:V54&lt;=0,"",SUM(V3:V54)))*0.38%+(IF(V3:V54&lt;=0,"",SUM(V3:V54))))</f>
        <v>562.12800000000004</v>
      </c>
      <c r="V7" s="35" t="str">
        <f t="shared" si="5"/>
        <v/>
      </c>
      <c r="W7" s="1"/>
      <c r="X7" s="48"/>
      <c r="Y7" s="8" t="s">
        <v>1</v>
      </c>
      <c r="Z7" s="49"/>
      <c r="AB7" s="1" t="str">
        <f>IF(E5&lt;160,"Capital Mínimo R$ 160k",(IF(AC3:AC54&lt;=0,"",SUM(AC3:AC54)))*0.38%+(IF(AC3:AC54&lt;=0,"",SUM(AC3:AC54))))</f>
        <v>Capital Mínimo R$ 160k</v>
      </c>
      <c r="AC7" s="1" t="str">
        <f t="shared" si="6"/>
        <v/>
      </c>
      <c r="AD7" s="1" t="str">
        <f>IF(G5&lt;160,"Capital Mínimo R$ 160k",(IF(AE3:AE54&lt;=0,"",SUM(AE3:AE54)))*0.38%+(IF(AE3:AE54&lt;=0,"",SUM(AE3:AE54))))</f>
        <v>Capital Mínimo R$ 160k</v>
      </c>
      <c r="AE7" s="1" t="str">
        <f t="shared" si="7"/>
        <v/>
      </c>
      <c r="AF7" s="79">
        <f t="shared" si="8"/>
        <v>18</v>
      </c>
      <c r="AG7" s="80">
        <v>0.66</v>
      </c>
      <c r="AH7" s="81">
        <v>0.64</v>
      </c>
      <c r="AL7" s="79">
        <f t="shared" si="9"/>
        <v>18</v>
      </c>
      <c r="AM7" s="80">
        <v>0.5</v>
      </c>
      <c r="AN7" s="81">
        <v>0.51999999999999991</v>
      </c>
      <c r="AR7" s="99">
        <v>18</v>
      </c>
      <c r="AS7" s="100">
        <v>19.900000000000002</v>
      </c>
      <c r="AT7" s="101">
        <v>17.7</v>
      </c>
      <c r="AV7" s="1" t="str">
        <f>IF(AV5&lt;160,"Capital Mínimo R$ 160k",(IF(AW3:AW54&lt;=0,"",SUM(AW3:AW54)))*0.38%+(IF(AW3:AW54&lt;=0,"",SUM(AW3:AW54))))</f>
        <v>Capital Mínimo R$ 160k</v>
      </c>
      <c r="AW7" t="str">
        <f>IF($AV$3=AR7,$AV$5*AS7,"")</f>
        <v/>
      </c>
      <c r="AX7" s="1" t="str">
        <f>IF(AX5&lt;160,"Capital Mínimo R$ 160k",(IF(AY3:AY54&lt;=0,"",SUM(AY3:AY54)))*0.38%+(IF(AY3:AY54&lt;=0,"",SUM(AY3:AY54))))</f>
        <v>Capital Mínimo R$ 160k</v>
      </c>
      <c r="AY7" t="str">
        <f t="shared" si="11"/>
        <v/>
      </c>
    </row>
    <row r="8" spans="1:51" x14ac:dyDescent="0.3">
      <c r="A8" s="5">
        <v>19</v>
      </c>
      <c r="B8" s="4">
        <v>27.55</v>
      </c>
      <c r="C8" s="4">
        <v>24.2</v>
      </c>
      <c r="E8" s="6" t="s">
        <v>20</v>
      </c>
      <c r="F8" t="str">
        <f t="shared" si="0"/>
        <v/>
      </c>
      <c r="G8" s="6" t="s">
        <v>20</v>
      </c>
      <c r="H8" s="1" t="str">
        <f>IF($G$3=A8,$G$5*C8,"")</f>
        <v/>
      </c>
      <c r="J8" s="48"/>
      <c r="K8" s="7">
        <f>Simulador!J14</f>
        <v>0</v>
      </c>
      <c r="L8" s="49"/>
      <c r="O8" s="24">
        <f t="shared" si="2"/>
        <v>19</v>
      </c>
      <c r="P8" s="25">
        <v>0.56000000000000005</v>
      </c>
      <c r="Q8" s="26">
        <v>0.56000000000000005</v>
      </c>
      <c r="R8" s="54">
        <f t="shared" si="3"/>
        <v>0</v>
      </c>
      <c r="S8" s="38" t="s">
        <v>20</v>
      </c>
      <c r="T8" s="35" t="str">
        <f t="shared" si="4"/>
        <v/>
      </c>
      <c r="U8" s="38" t="s">
        <v>20</v>
      </c>
      <c r="V8" s="35" t="str">
        <f t="shared" si="5"/>
        <v/>
      </c>
      <c r="W8" s="1"/>
      <c r="X8" s="48"/>
      <c r="Y8" s="7">
        <f>Simulador!J16</f>
        <v>200000</v>
      </c>
      <c r="Z8" s="49"/>
      <c r="AB8" t="s">
        <v>20</v>
      </c>
      <c r="AC8" s="1" t="str">
        <f t="shared" si="6"/>
        <v/>
      </c>
      <c r="AD8" t="s">
        <v>20</v>
      </c>
      <c r="AE8" s="1" t="str">
        <f t="shared" si="7"/>
        <v/>
      </c>
      <c r="AF8" s="79">
        <f t="shared" si="8"/>
        <v>19</v>
      </c>
      <c r="AG8" s="80">
        <v>0.69</v>
      </c>
      <c r="AH8" s="81">
        <v>0.67</v>
      </c>
      <c r="AL8" s="79">
        <f t="shared" si="9"/>
        <v>19</v>
      </c>
      <c r="AM8" s="80">
        <v>0.53</v>
      </c>
      <c r="AN8" s="81">
        <v>0.54</v>
      </c>
      <c r="AR8" s="99">
        <v>19</v>
      </c>
      <c r="AS8" s="100">
        <v>20.38</v>
      </c>
      <c r="AT8" s="101">
        <v>18.16</v>
      </c>
      <c r="AV8" s="6" t="s">
        <v>20</v>
      </c>
      <c r="AW8" t="str">
        <f t="shared" si="10"/>
        <v/>
      </c>
      <c r="AX8" s="6" t="s">
        <v>20</v>
      </c>
      <c r="AY8" t="str">
        <f t="shared" si="11"/>
        <v/>
      </c>
    </row>
    <row r="9" spans="1:51" x14ac:dyDescent="0.3">
      <c r="A9" s="5">
        <v>20</v>
      </c>
      <c r="B9" s="4">
        <v>28.209999999999997</v>
      </c>
      <c r="C9" s="4">
        <v>24.830000000000002</v>
      </c>
      <c r="E9" s="1">
        <f>E7*0.09</f>
        <v>469.82357100000002</v>
      </c>
      <c r="F9" t="str">
        <f t="shared" si="0"/>
        <v/>
      </c>
      <c r="G9" s="1">
        <f>G7*0.09</f>
        <v>423.07158599999997</v>
      </c>
      <c r="H9" s="1" t="str">
        <f t="shared" si="1"/>
        <v/>
      </c>
      <c r="J9" s="48"/>
      <c r="K9" s="6" t="s">
        <v>3</v>
      </c>
      <c r="L9" s="49"/>
      <c r="O9" s="24">
        <f t="shared" si="2"/>
        <v>20</v>
      </c>
      <c r="P9" s="25">
        <v>0.56000000000000005</v>
      </c>
      <c r="Q9" s="26">
        <v>0.56000000000000005</v>
      </c>
      <c r="R9" s="54">
        <f t="shared" si="3"/>
        <v>0</v>
      </c>
      <c r="S9" s="58">
        <f>S7*0.09</f>
        <v>50.591520000000003</v>
      </c>
      <c r="T9" s="35" t="str">
        <f t="shared" si="4"/>
        <v/>
      </c>
      <c r="U9" s="58">
        <f>U7*0.09</f>
        <v>50.591520000000003</v>
      </c>
      <c r="V9" s="35" t="str">
        <f t="shared" si="5"/>
        <v/>
      </c>
      <c r="W9" s="1"/>
      <c r="X9" s="48"/>
      <c r="Y9" s="6" t="s">
        <v>3</v>
      </c>
      <c r="Z9" s="49"/>
      <c r="AB9" s="85" t="e">
        <f>AB7*0.09</f>
        <v>#VALUE!</v>
      </c>
      <c r="AC9" s="1" t="str">
        <f t="shared" si="6"/>
        <v/>
      </c>
      <c r="AD9" s="85" t="e">
        <f>AD7*0.09</f>
        <v>#VALUE!</v>
      </c>
      <c r="AE9" s="1" t="str">
        <f t="shared" si="7"/>
        <v/>
      </c>
      <c r="AF9" s="79">
        <f t="shared" si="8"/>
        <v>20</v>
      </c>
      <c r="AG9" s="80">
        <v>0.73</v>
      </c>
      <c r="AH9" s="81">
        <v>0.71</v>
      </c>
      <c r="AL9" s="79">
        <f t="shared" si="9"/>
        <v>20</v>
      </c>
      <c r="AM9" s="80">
        <v>0.55999999999999994</v>
      </c>
      <c r="AN9" s="81">
        <v>0.56999999999999995</v>
      </c>
      <c r="AR9" s="99">
        <v>20</v>
      </c>
      <c r="AS9" s="100">
        <v>20.86</v>
      </c>
      <c r="AT9" s="101">
        <v>18.64</v>
      </c>
      <c r="AV9" s="1" t="e">
        <f>AV7*0.09</f>
        <v>#VALUE!</v>
      </c>
      <c r="AW9" t="str">
        <f t="shared" si="10"/>
        <v/>
      </c>
      <c r="AX9" s="1" t="e">
        <f>AX7*0.09</f>
        <v>#VALUE!</v>
      </c>
      <c r="AY9" t="str">
        <f t="shared" si="11"/>
        <v/>
      </c>
    </row>
    <row r="10" spans="1:51" x14ac:dyDescent="0.3">
      <c r="A10" s="5">
        <v>21</v>
      </c>
      <c r="B10" s="4">
        <v>28.88</v>
      </c>
      <c r="C10" s="4">
        <v>25.48</v>
      </c>
      <c r="F10" t="str">
        <f t="shared" si="0"/>
        <v/>
      </c>
      <c r="G10" s="31"/>
      <c r="H10" s="1" t="str">
        <f t="shared" si="1"/>
        <v/>
      </c>
      <c r="J10" s="48"/>
      <c r="K10" s="50">
        <f>(K8/1000*K3)*0.38%+((K8/1000*K3))</f>
        <v>0</v>
      </c>
      <c r="L10" s="49"/>
      <c r="O10" s="24">
        <f t="shared" si="2"/>
        <v>21</v>
      </c>
      <c r="P10" s="25">
        <v>0.56000000000000005</v>
      </c>
      <c r="Q10" s="26">
        <v>0.56000000000000005</v>
      </c>
      <c r="R10" s="54">
        <f t="shared" si="3"/>
        <v>0</v>
      </c>
      <c r="S10" s="39"/>
      <c r="T10" s="35" t="str">
        <f t="shared" si="4"/>
        <v/>
      </c>
      <c r="U10" s="39"/>
      <c r="V10" s="35" t="str">
        <f t="shared" si="5"/>
        <v/>
      </c>
      <c r="W10" s="1"/>
      <c r="X10" s="48"/>
      <c r="Y10" s="50">
        <f>(Y8/1000*Y3)*0.38%+((Y8/1000*Y3))</f>
        <v>100.38</v>
      </c>
      <c r="Z10" s="49"/>
      <c r="AC10" s="1" t="str">
        <f t="shared" si="6"/>
        <v/>
      </c>
      <c r="AE10" s="1" t="str">
        <f t="shared" si="7"/>
        <v/>
      </c>
      <c r="AF10" s="79">
        <f t="shared" si="8"/>
        <v>21</v>
      </c>
      <c r="AG10" s="80">
        <v>0.8</v>
      </c>
      <c r="AH10" s="81">
        <v>0.76999999999999991</v>
      </c>
      <c r="AL10" s="79">
        <f t="shared" si="9"/>
        <v>21</v>
      </c>
      <c r="AM10" s="80">
        <v>0.6</v>
      </c>
      <c r="AN10" s="81">
        <v>0.61</v>
      </c>
      <c r="AR10" s="99">
        <v>21</v>
      </c>
      <c r="AS10" s="100">
        <v>21.36</v>
      </c>
      <c r="AT10" s="101">
        <v>19.130000000000003</v>
      </c>
      <c r="AW10" t="str">
        <f t="shared" si="10"/>
        <v/>
      </c>
      <c r="AY10" t="str">
        <f t="shared" si="11"/>
        <v/>
      </c>
    </row>
    <row r="11" spans="1:51" x14ac:dyDescent="0.3">
      <c r="A11" s="5">
        <v>22</v>
      </c>
      <c r="B11" s="4">
        <v>29.57</v>
      </c>
      <c r="C11" s="4">
        <v>26.15</v>
      </c>
      <c r="F11" t="str">
        <f t="shared" si="0"/>
        <v/>
      </c>
      <c r="H11" s="1" t="str">
        <f t="shared" si="1"/>
        <v/>
      </c>
      <c r="I11" t="str">
        <f>IF(G4="Anual",IF(H4=0,IF(E4="Masculino",Simulações!AB7,Simulações!AD7),H4),IF(H4=0,IF(E4="Masculino",Simulações!E9,Simulações!G9),H4))</f>
        <v/>
      </c>
      <c r="J11" s="48"/>
      <c r="K11" s="6" t="s">
        <v>20</v>
      </c>
      <c r="L11" s="49"/>
      <c r="O11" s="24">
        <f t="shared" si="2"/>
        <v>22</v>
      </c>
      <c r="P11" s="25">
        <v>0.56000000000000005</v>
      </c>
      <c r="Q11" s="26">
        <v>0.56000000000000005</v>
      </c>
      <c r="R11" s="54">
        <f t="shared" si="3"/>
        <v>0</v>
      </c>
      <c r="S11" s="39"/>
      <c r="T11" s="35" t="str">
        <f t="shared" si="4"/>
        <v/>
      </c>
      <c r="U11" s="39"/>
      <c r="V11" s="35" t="str">
        <f t="shared" si="5"/>
        <v/>
      </c>
      <c r="W11" s="1"/>
      <c r="X11" s="48"/>
      <c r="Y11" s="6" t="s">
        <v>20</v>
      </c>
      <c r="Z11" s="49"/>
      <c r="AC11" s="1" t="str">
        <f t="shared" si="6"/>
        <v/>
      </c>
      <c r="AE11" s="1" t="str">
        <f t="shared" si="7"/>
        <v/>
      </c>
      <c r="AF11" s="79">
        <f t="shared" si="8"/>
        <v>22</v>
      </c>
      <c r="AG11" s="80">
        <v>0.86</v>
      </c>
      <c r="AH11" s="81">
        <v>0.83</v>
      </c>
      <c r="AL11" s="79">
        <f t="shared" si="9"/>
        <v>22</v>
      </c>
      <c r="AM11" s="80">
        <v>0.65</v>
      </c>
      <c r="AN11" s="81">
        <v>0.66</v>
      </c>
      <c r="AR11" s="99">
        <v>22</v>
      </c>
      <c r="AS11" s="100">
        <v>21.88</v>
      </c>
      <c r="AT11" s="101">
        <v>19.630000000000003</v>
      </c>
      <c r="AW11" t="str">
        <f t="shared" si="10"/>
        <v/>
      </c>
      <c r="AY11" t="str">
        <f t="shared" si="11"/>
        <v/>
      </c>
    </row>
    <row r="12" spans="1:51" x14ac:dyDescent="0.3">
      <c r="A12" s="5">
        <v>23</v>
      </c>
      <c r="B12" s="4">
        <v>30.290000000000003</v>
      </c>
      <c r="C12" s="4">
        <v>26.83</v>
      </c>
      <c r="F12" t="str">
        <f t="shared" si="0"/>
        <v/>
      </c>
      <c r="G12" s="40"/>
      <c r="H12" s="1" t="str">
        <f t="shared" si="1"/>
        <v/>
      </c>
      <c r="J12" s="48"/>
      <c r="K12" s="50">
        <f>K10*0.09</f>
        <v>0</v>
      </c>
      <c r="L12" s="49"/>
      <c r="O12" s="24">
        <f t="shared" si="2"/>
        <v>23</v>
      </c>
      <c r="P12" s="25">
        <v>0.56000000000000005</v>
      </c>
      <c r="Q12" s="26">
        <v>0.56000000000000005</v>
      </c>
      <c r="R12" s="54">
        <f t="shared" si="3"/>
        <v>0</v>
      </c>
      <c r="S12" s="39"/>
      <c r="T12" s="35" t="str">
        <f t="shared" si="4"/>
        <v/>
      </c>
      <c r="U12" s="39"/>
      <c r="V12" s="35" t="str">
        <f t="shared" si="5"/>
        <v/>
      </c>
      <c r="W12" s="1"/>
      <c r="X12" s="48"/>
      <c r="Y12" s="50">
        <f>Y10*0.09</f>
        <v>9.0341999999999985</v>
      </c>
      <c r="Z12" s="49"/>
      <c r="AC12" s="1" t="str">
        <f t="shared" si="6"/>
        <v/>
      </c>
      <c r="AE12" s="1" t="str">
        <f t="shared" si="7"/>
        <v/>
      </c>
      <c r="AF12" s="79">
        <f t="shared" si="8"/>
        <v>23</v>
      </c>
      <c r="AG12" s="80">
        <v>0.93</v>
      </c>
      <c r="AH12" s="81">
        <v>0.8899999999999999</v>
      </c>
      <c r="AL12" s="79">
        <f t="shared" si="9"/>
        <v>23</v>
      </c>
      <c r="AM12" s="80">
        <v>0.7</v>
      </c>
      <c r="AN12" s="81">
        <v>0.7</v>
      </c>
      <c r="AR12" s="99">
        <v>23</v>
      </c>
      <c r="AS12" s="100">
        <v>22.270000000000003</v>
      </c>
      <c r="AT12" s="101">
        <v>20.150000000000002</v>
      </c>
      <c r="AW12" t="str">
        <f t="shared" si="10"/>
        <v/>
      </c>
      <c r="AY12" t="str">
        <f t="shared" si="11"/>
        <v/>
      </c>
    </row>
    <row r="13" spans="1:51" ht="15" thickBot="1" x14ac:dyDescent="0.35">
      <c r="A13" s="5">
        <v>24</v>
      </c>
      <c r="B13" s="4">
        <v>31.029999999999998</v>
      </c>
      <c r="C13" s="4">
        <v>27.54</v>
      </c>
      <c r="F13" t="str">
        <f t="shared" si="0"/>
        <v/>
      </c>
      <c r="H13" s="1" t="str">
        <f t="shared" si="1"/>
        <v/>
      </c>
      <c r="J13" s="51"/>
      <c r="K13" s="52"/>
      <c r="L13" s="53"/>
      <c r="O13" s="24">
        <f t="shared" si="2"/>
        <v>24</v>
      </c>
      <c r="P13" s="25">
        <v>0.56000000000000005</v>
      </c>
      <c r="Q13" s="26">
        <v>0.56000000000000005</v>
      </c>
      <c r="R13" s="54">
        <f t="shared" si="3"/>
        <v>0</v>
      </c>
      <c r="S13" s="39"/>
      <c r="T13" s="35" t="str">
        <f t="shared" si="4"/>
        <v/>
      </c>
      <c r="U13" s="39"/>
      <c r="V13" s="35" t="str">
        <f t="shared" si="5"/>
        <v/>
      </c>
      <c r="W13" s="1"/>
      <c r="X13" s="51"/>
      <c r="Y13" s="52"/>
      <c r="Z13" s="53"/>
      <c r="AC13" s="1" t="str">
        <f t="shared" si="6"/>
        <v/>
      </c>
      <c r="AE13" s="1" t="str">
        <f t="shared" si="7"/>
        <v/>
      </c>
      <c r="AF13" s="79">
        <f t="shared" si="8"/>
        <v>24</v>
      </c>
      <c r="AG13" s="80">
        <v>1</v>
      </c>
      <c r="AH13" s="81">
        <v>0.97000000000000008</v>
      </c>
      <c r="AL13" s="79">
        <f t="shared" si="9"/>
        <v>24</v>
      </c>
      <c r="AM13" s="80">
        <v>0.76</v>
      </c>
      <c r="AN13" s="81">
        <v>0.76</v>
      </c>
      <c r="AR13" s="99">
        <v>24</v>
      </c>
      <c r="AS13" s="100">
        <v>22.669999999999998</v>
      </c>
      <c r="AT13" s="101">
        <v>20.69</v>
      </c>
      <c r="AW13" t="str">
        <f t="shared" si="10"/>
        <v/>
      </c>
      <c r="AY13" t="str">
        <f t="shared" si="11"/>
        <v/>
      </c>
    </row>
    <row r="14" spans="1:51" x14ac:dyDescent="0.3">
      <c r="A14" s="5">
        <v>25</v>
      </c>
      <c r="B14" s="4">
        <v>32.14</v>
      </c>
      <c r="C14" s="4">
        <v>28.87</v>
      </c>
      <c r="F14" t="str">
        <f t="shared" si="0"/>
        <v/>
      </c>
      <c r="H14" s="1" t="str">
        <f t="shared" si="1"/>
        <v/>
      </c>
      <c r="J14" s="41"/>
      <c r="K14" s="9"/>
      <c r="L14" s="9"/>
      <c r="O14" s="24">
        <f t="shared" si="2"/>
        <v>25</v>
      </c>
      <c r="P14" s="25">
        <v>0.56000000000000005</v>
      </c>
      <c r="Q14" s="26">
        <v>0.56000000000000005</v>
      </c>
      <c r="R14" s="54">
        <f t="shared" si="3"/>
        <v>0</v>
      </c>
      <c r="S14" s="39"/>
      <c r="T14" s="35" t="str">
        <f t="shared" si="4"/>
        <v/>
      </c>
      <c r="U14" s="39"/>
      <c r="V14" s="35" t="str">
        <f t="shared" si="5"/>
        <v/>
      </c>
      <c r="W14" s="1"/>
      <c r="X14" s="41"/>
      <c r="Y14" s="30"/>
      <c r="Z14" s="30"/>
      <c r="AC14" s="1" t="str">
        <f t="shared" si="6"/>
        <v/>
      </c>
      <c r="AE14" s="1" t="str">
        <f t="shared" si="7"/>
        <v/>
      </c>
      <c r="AF14" s="79">
        <f t="shared" si="8"/>
        <v>25</v>
      </c>
      <c r="AG14" s="80">
        <v>1.08</v>
      </c>
      <c r="AH14" s="81">
        <v>1.05</v>
      </c>
      <c r="AL14" s="79">
        <f t="shared" si="9"/>
        <v>25</v>
      </c>
      <c r="AM14" s="80">
        <v>0.80999999999999994</v>
      </c>
      <c r="AN14" s="81">
        <v>0.83</v>
      </c>
      <c r="AR14" s="99">
        <v>25</v>
      </c>
      <c r="AS14" s="100">
        <v>22.950000000000003</v>
      </c>
      <c r="AT14" s="101">
        <v>20.96</v>
      </c>
      <c r="AW14" t="str">
        <f t="shared" si="10"/>
        <v/>
      </c>
      <c r="AY14" t="str">
        <f t="shared" si="11"/>
        <v/>
      </c>
    </row>
    <row r="15" spans="1:51" x14ac:dyDescent="0.3">
      <c r="A15" s="5">
        <v>26</v>
      </c>
      <c r="B15" s="4">
        <v>32.950000000000003</v>
      </c>
      <c r="C15" s="4">
        <v>29.63</v>
      </c>
      <c r="F15" t="str">
        <f t="shared" si="0"/>
        <v/>
      </c>
      <c r="H15" s="1" t="str">
        <f t="shared" si="1"/>
        <v/>
      </c>
      <c r="J15" s="41"/>
      <c r="K15" s="9"/>
      <c r="L15" s="9"/>
      <c r="O15" s="24">
        <f t="shared" si="2"/>
        <v>26</v>
      </c>
      <c r="P15" s="25">
        <v>0.56000000000000005</v>
      </c>
      <c r="Q15" s="26">
        <v>0.56000000000000005</v>
      </c>
      <c r="R15" s="54">
        <f t="shared" si="3"/>
        <v>0</v>
      </c>
      <c r="S15" s="39"/>
      <c r="T15" s="35" t="str">
        <f t="shared" si="4"/>
        <v/>
      </c>
      <c r="U15" s="39"/>
      <c r="V15" s="35" t="str">
        <f t="shared" si="5"/>
        <v/>
      </c>
      <c r="W15" s="1"/>
      <c r="X15" s="41"/>
      <c r="Y15" s="30"/>
      <c r="Z15" s="30"/>
      <c r="AC15" s="1" t="str">
        <f t="shared" si="6"/>
        <v/>
      </c>
      <c r="AE15" s="1" t="str">
        <f t="shared" si="7"/>
        <v/>
      </c>
      <c r="AF15" s="79">
        <f t="shared" si="8"/>
        <v>26</v>
      </c>
      <c r="AG15" s="80">
        <v>1.1599999999999999</v>
      </c>
      <c r="AH15" s="81">
        <v>1.1599999999999999</v>
      </c>
      <c r="AL15" s="79">
        <f t="shared" si="9"/>
        <v>26</v>
      </c>
      <c r="AM15" s="80">
        <v>0.88</v>
      </c>
      <c r="AN15" s="81">
        <v>0.92</v>
      </c>
      <c r="AR15" s="99">
        <v>26</v>
      </c>
      <c r="AS15" s="100">
        <v>23.240000000000002</v>
      </c>
      <c r="AT15" s="101">
        <v>21.23</v>
      </c>
      <c r="AW15" t="str">
        <f t="shared" si="10"/>
        <v/>
      </c>
      <c r="AY15" t="str">
        <f t="shared" si="11"/>
        <v/>
      </c>
    </row>
    <row r="16" spans="1:51" x14ac:dyDescent="0.3">
      <c r="A16" s="5">
        <v>27</v>
      </c>
      <c r="B16" s="4">
        <v>33.79</v>
      </c>
      <c r="C16" s="4">
        <v>30.419999999999998</v>
      </c>
      <c r="F16" t="str">
        <f t="shared" si="0"/>
        <v/>
      </c>
      <c r="H16" s="1" t="str">
        <f t="shared" si="1"/>
        <v/>
      </c>
      <c r="J16" s="41"/>
      <c r="K16" s="9"/>
      <c r="L16" s="9"/>
      <c r="O16" s="24">
        <f t="shared" si="2"/>
        <v>27</v>
      </c>
      <c r="P16" s="25">
        <v>0.56000000000000005</v>
      </c>
      <c r="Q16" s="26">
        <v>0.56000000000000005</v>
      </c>
      <c r="R16" s="54">
        <f t="shared" si="3"/>
        <v>0</v>
      </c>
      <c r="S16" s="39"/>
      <c r="T16" s="35" t="str">
        <f t="shared" si="4"/>
        <v/>
      </c>
      <c r="U16" s="39"/>
      <c r="V16" s="35" t="str">
        <f t="shared" si="5"/>
        <v/>
      </c>
      <c r="W16" s="1"/>
      <c r="X16" s="41"/>
      <c r="Y16" s="30"/>
      <c r="Z16" s="30"/>
      <c r="AC16" s="1" t="str">
        <f t="shared" si="6"/>
        <v/>
      </c>
      <c r="AE16" s="1" t="str">
        <f t="shared" si="7"/>
        <v/>
      </c>
      <c r="AF16" s="79">
        <f t="shared" si="8"/>
        <v>27</v>
      </c>
      <c r="AG16" s="80">
        <v>1.24</v>
      </c>
      <c r="AH16" s="81">
        <v>1.27</v>
      </c>
      <c r="AL16" s="79">
        <f t="shared" si="9"/>
        <v>27</v>
      </c>
      <c r="AM16" s="80">
        <v>0.95</v>
      </c>
      <c r="AN16" s="81">
        <v>1.03</v>
      </c>
      <c r="AR16" s="99">
        <v>27</v>
      </c>
      <c r="AS16" s="100">
        <v>23.689999999999998</v>
      </c>
      <c r="AT16" s="101">
        <v>21.52</v>
      </c>
      <c r="AW16" t="str">
        <f t="shared" si="10"/>
        <v/>
      </c>
      <c r="AY16" t="str">
        <f t="shared" si="11"/>
        <v/>
      </c>
    </row>
    <row r="17" spans="1:51" x14ac:dyDescent="0.3">
      <c r="A17" s="5">
        <v>28</v>
      </c>
      <c r="B17" s="4">
        <v>34.67</v>
      </c>
      <c r="C17" s="4">
        <v>31.220000000000002</v>
      </c>
      <c r="F17">
        <f t="shared" si="0"/>
        <v>5200.5</v>
      </c>
      <c r="H17" s="1">
        <f t="shared" si="1"/>
        <v>4683</v>
      </c>
      <c r="J17" s="41"/>
      <c r="K17" s="9"/>
      <c r="L17" s="9"/>
      <c r="O17" s="24">
        <f t="shared" si="2"/>
        <v>28</v>
      </c>
      <c r="P17" s="25">
        <v>0.56000000000000005</v>
      </c>
      <c r="Q17" s="26">
        <v>0.56000000000000005</v>
      </c>
      <c r="R17" s="54">
        <f t="shared" si="3"/>
        <v>0</v>
      </c>
      <c r="S17" s="39"/>
      <c r="T17" s="35">
        <f t="shared" si="4"/>
        <v>560</v>
      </c>
      <c r="U17" s="39"/>
      <c r="V17" s="35">
        <f t="shared" si="5"/>
        <v>560</v>
      </c>
      <c r="W17" s="1"/>
      <c r="X17" s="41"/>
      <c r="Y17" s="30"/>
      <c r="Z17" s="30"/>
      <c r="AC17" s="1">
        <f t="shared" si="6"/>
        <v>264</v>
      </c>
      <c r="AE17" s="1">
        <f t="shared" si="7"/>
        <v>282</v>
      </c>
      <c r="AF17" s="79">
        <f t="shared" si="8"/>
        <v>28</v>
      </c>
      <c r="AG17" s="80">
        <v>1.32</v>
      </c>
      <c r="AH17" s="81">
        <v>1.41</v>
      </c>
      <c r="AL17" s="79">
        <f t="shared" si="9"/>
        <v>28</v>
      </c>
      <c r="AM17" s="80">
        <v>1.03</v>
      </c>
      <c r="AN17" s="81">
        <v>1.1599999999999999</v>
      </c>
      <c r="AR17" s="99">
        <v>28</v>
      </c>
      <c r="AS17" s="100">
        <v>24.17</v>
      </c>
      <c r="AT17" s="101">
        <v>22.1</v>
      </c>
      <c r="AW17">
        <f t="shared" si="10"/>
        <v>3625.5000000000005</v>
      </c>
      <c r="AY17">
        <f t="shared" si="11"/>
        <v>3315</v>
      </c>
    </row>
    <row r="18" spans="1:51" x14ac:dyDescent="0.3">
      <c r="A18" s="5">
        <v>29</v>
      </c>
      <c r="B18" s="4">
        <v>35.57</v>
      </c>
      <c r="C18" s="4">
        <v>32.050000000000004</v>
      </c>
      <c r="F18" t="str">
        <f t="shared" si="0"/>
        <v/>
      </c>
      <c r="H18" s="1" t="str">
        <f t="shared" si="1"/>
        <v/>
      </c>
      <c r="J18" s="41"/>
      <c r="K18" s="9"/>
      <c r="L18" s="9"/>
      <c r="O18" s="24">
        <f t="shared" si="2"/>
        <v>29</v>
      </c>
      <c r="P18" s="25">
        <v>0.56000000000000005</v>
      </c>
      <c r="Q18" s="26">
        <v>0.56000000000000005</v>
      </c>
      <c r="R18" s="54">
        <f t="shared" si="3"/>
        <v>0</v>
      </c>
      <c r="S18" s="39"/>
      <c r="T18" s="35" t="str">
        <f t="shared" si="4"/>
        <v/>
      </c>
      <c r="U18" s="39"/>
      <c r="V18" s="35" t="str">
        <f t="shared" si="5"/>
        <v/>
      </c>
      <c r="W18" s="1"/>
      <c r="X18" s="41"/>
      <c r="Y18" s="30"/>
      <c r="Z18" s="30"/>
      <c r="AC18" s="1" t="str">
        <f t="shared" si="6"/>
        <v/>
      </c>
      <c r="AE18" s="1" t="str">
        <f t="shared" si="7"/>
        <v/>
      </c>
      <c r="AF18" s="79">
        <f t="shared" si="8"/>
        <v>29</v>
      </c>
      <c r="AG18" s="80">
        <v>1.42</v>
      </c>
      <c r="AH18" s="81">
        <v>1.57</v>
      </c>
      <c r="AL18" s="79">
        <f t="shared" si="9"/>
        <v>29</v>
      </c>
      <c r="AM18" s="80">
        <v>1.1100000000000001</v>
      </c>
      <c r="AN18" s="81">
        <v>1.31</v>
      </c>
      <c r="AR18" s="99">
        <v>29</v>
      </c>
      <c r="AS18" s="100">
        <v>24.819999999999997</v>
      </c>
      <c r="AT18" s="101">
        <v>22.55</v>
      </c>
      <c r="AW18" t="str">
        <f t="shared" si="10"/>
        <v/>
      </c>
      <c r="AY18" t="str">
        <f t="shared" si="11"/>
        <v/>
      </c>
    </row>
    <row r="19" spans="1:51" x14ac:dyDescent="0.3">
      <c r="A19" s="5">
        <v>30</v>
      </c>
      <c r="B19" s="4">
        <v>36.5</v>
      </c>
      <c r="C19" s="4">
        <v>32.9</v>
      </c>
      <c r="F19" t="str">
        <f t="shared" si="0"/>
        <v/>
      </c>
      <c r="H19" s="1" t="str">
        <f t="shared" si="1"/>
        <v/>
      </c>
      <c r="J19" s="41"/>
      <c r="K19" s="9"/>
      <c r="L19" s="9"/>
      <c r="O19" s="24">
        <f t="shared" si="2"/>
        <v>30</v>
      </c>
      <c r="P19" s="25">
        <v>0.56000000000000005</v>
      </c>
      <c r="Q19" s="26">
        <v>0.56000000000000005</v>
      </c>
      <c r="R19" s="54">
        <f t="shared" si="3"/>
        <v>0</v>
      </c>
      <c r="S19" s="39"/>
      <c r="T19" s="35" t="str">
        <f t="shared" si="4"/>
        <v/>
      </c>
      <c r="U19" s="39"/>
      <c r="V19" s="35" t="str">
        <f t="shared" si="5"/>
        <v/>
      </c>
      <c r="W19" s="1"/>
      <c r="X19" s="41"/>
      <c r="Y19" s="30"/>
      <c r="Z19" s="30"/>
      <c r="AC19" s="1" t="str">
        <f t="shared" si="6"/>
        <v/>
      </c>
      <c r="AE19" s="1" t="str">
        <f t="shared" si="7"/>
        <v/>
      </c>
      <c r="AF19" s="79">
        <f t="shared" si="8"/>
        <v>30</v>
      </c>
      <c r="AG19" s="80">
        <v>1.5299999999999998</v>
      </c>
      <c r="AH19" s="81">
        <v>1.74</v>
      </c>
      <c r="AL19" s="79">
        <f t="shared" si="9"/>
        <v>30</v>
      </c>
      <c r="AM19" s="80">
        <v>1.21</v>
      </c>
      <c r="AN19" s="81">
        <v>1.47</v>
      </c>
      <c r="AR19" s="99">
        <v>30</v>
      </c>
      <c r="AS19" s="100">
        <v>25.5</v>
      </c>
      <c r="AT19" s="101">
        <v>23.169999999999998</v>
      </c>
      <c r="AW19" t="str">
        <f t="shared" si="10"/>
        <v/>
      </c>
      <c r="AY19" t="str">
        <f t="shared" si="11"/>
        <v/>
      </c>
    </row>
    <row r="20" spans="1:51" x14ac:dyDescent="0.3">
      <c r="A20" s="5">
        <v>31</v>
      </c>
      <c r="B20" s="4">
        <v>37.470000000000006</v>
      </c>
      <c r="C20" s="4">
        <v>33.779999999999994</v>
      </c>
      <c r="F20" t="str">
        <f t="shared" si="0"/>
        <v/>
      </c>
      <c r="H20" s="1" t="str">
        <f t="shared" si="1"/>
        <v/>
      </c>
      <c r="J20" s="41"/>
      <c r="K20" s="9"/>
      <c r="L20" s="9"/>
      <c r="O20" s="24">
        <f t="shared" si="2"/>
        <v>31</v>
      </c>
      <c r="P20" s="25">
        <v>0.59</v>
      </c>
      <c r="Q20" s="26">
        <v>0.59</v>
      </c>
      <c r="R20" s="54">
        <f t="shared" si="3"/>
        <v>0</v>
      </c>
      <c r="S20" s="39"/>
      <c r="T20" s="35" t="str">
        <f t="shared" si="4"/>
        <v/>
      </c>
      <c r="U20" s="39"/>
      <c r="V20" s="35" t="str">
        <f t="shared" si="5"/>
        <v/>
      </c>
      <c r="W20" s="1"/>
      <c r="X20" s="41"/>
      <c r="Y20" s="30"/>
      <c r="Z20" s="30"/>
      <c r="AC20" s="1" t="str">
        <f t="shared" si="6"/>
        <v/>
      </c>
      <c r="AE20" s="1" t="str">
        <f t="shared" si="7"/>
        <v/>
      </c>
      <c r="AF20" s="79">
        <f t="shared" si="8"/>
        <v>31</v>
      </c>
      <c r="AG20" s="80">
        <v>1.65</v>
      </c>
      <c r="AH20" s="81">
        <v>1.9300000000000002</v>
      </c>
      <c r="AL20" s="79">
        <f t="shared" si="9"/>
        <v>31</v>
      </c>
      <c r="AM20" s="80">
        <v>1.33</v>
      </c>
      <c r="AN20" s="81">
        <v>1.66</v>
      </c>
      <c r="AR20" s="99">
        <v>31</v>
      </c>
      <c r="AS20" s="100">
        <v>26.200000000000003</v>
      </c>
      <c r="AT20" s="101">
        <v>23.5</v>
      </c>
      <c r="AW20" t="str">
        <f t="shared" si="10"/>
        <v/>
      </c>
      <c r="AY20" t="str">
        <f t="shared" si="11"/>
        <v/>
      </c>
    </row>
    <row r="21" spans="1:51" x14ac:dyDescent="0.3">
      <c r="A21" s="5">
        <v>32</v>
      </c>
      <c r="B21" s="4">
        <v>38.46</v>
      </c>
      <c r="C21" s="4">
        <v>34.68</v>
      </c>
      <c r="F21" t="str">
        <f t="shared" si="0"/>
        <v/>
      </c>
      <c r="H21" s="1" t="str">
        <f t="shared" si="1"/>
        <v/>
      </c>
      <c r="J21" s="41"/>
      <c r="K21" s="9"/>
      <c r="L21" s="9"/>
      <c r="O21" s="24">
        <f t="shared" si="2"/>
        <v>32</v>
      </c>
      <c r="P21" s="25">
        <v>0.62</v>
      </c>
      <c r="Q21" s="26">
        <v>0.63</v>
      </c>
      <c r="R21" s="54">
        <f t="shared" si="3"/>
        <v>-1.0000000000000009E-2</v>
      </c>
      <c r="S21" s="39"/>
      <c r="T21" s="35" t="str">
        <f t="shared" si="4"/>
        <v/>
      </c>
      <c r="U21" s="39"/>
      <c r="V21" s="35" t="str">
        <f t="shared" si="5"/>
        <v/>
      </c>
      <c r="W21" s="1"/>
      <c r="X21" s="41"/>
      <c r="Y21" s="30"/>
      <c r="Z21" s="30"/>
      <c r="AC21" s="1" t="str">
        <f t="shared" si="6"/>
        <v/>
      </c>
      <c r="AE21" s="1" t="str">
        <f t="shared" si="7"/>
        <v/>
      </c>
      <c r="AF21" s="79">
        <f t="shared" si="8"/>
        <v>32</v>
      </c>
      <c r="AG21" s="80">
        <v>1.7799999999999998</v>
      </c>
      <c r="AH21" s="81">
        <v>2.13</v>
      </c>
      <c r="AL21" s="79">
        <f t="shared" si="9"/>
        <v>32</v>
      </c>
      <c r="AM21" s="80">
        <v>1.46</v>
      </c>
      <c r="AN21" s="81">
        <v>1.85</v>
      </c>
      <c r="AR21" s="99">
        <v>32</v>
      </c>
      <c r="AS21" s="100">
        <v>26.919999999999998</v>
      </c>
      <c r="AT21" s="101">
        <v>23.990000000000002</v>
      </c>
      <c r="AW21" t="str">
        <f t="shared" si="10"/>
        <v/>
      </c>
      <c r="AY21" t="str">
        <f t="shared" si="11"/>
        <v/>
      </c>
    </row>
    <row r="22" spans="1:51" x14ac:dyDescent="0.3">
      <c r="A22" s="5">
        <v>33</v>
      </c>
      <c r="B22" s="4">
        <v>39.489999999999995</v>
      </c>
      <c r="C22" s="4">
        <v>35.61</v>
      </c>
      <c r="F22" t="str">
        <f t="shared" si="0"/>
        <v/>
      </c>
      <c r="H22" s="1" t="str">
        <f t="shared" si="1"/>
        <v/>
      </c>
      <c r="J22" s="41"/>
      <c r="K22" s="9"/>
      <c r="L22" s="9"/>
      <c r="O22" s="24">
        <f t="shared" si="2"/>
        <v>33</v>
      </c>
      <c r="P22" s="25">
        <v>0.66</v>
      </c>
      <c r="Q22" s="26">
        <v>0.66</v>
      </c>
      <c r="R22" s="54">
        <f t="shared" si="3"/>
        <v>0</v>
      </c>
      <c r="S22" s="39"/>
      <c r="T22" s="35" t="str">
        <f t="shared" si="4"/>
        <v/>
      </c>
      <c r="U22" s="39"/>
      <c r="V22" s="35" t="str">
        <f t="shared" si="5"/>
        <v/>
      </c>
      <c r="W22" s="1"/>
      <c r="X22" s="41"/>
      <c r="Y22" s="30"/>
      <c r="Z22" s="30"/>
      <c r="AC22" s="1" t="str">
        <f t="shared" si="6"/>
        <v/>
      </c>
      <c r="AE22" s="1" t="str">
        <f t="shared" si="7"/>
        <v/>
      </c>
      <c r="AF22" s="79">
        <f t="shared" si="8"/>
        <v>33</v>
      </c>
      <c r="AG22" s="80">
        <v>1.95</v>
      </c>
      <c r="AH22" s="81">
        <v>2.35</v>
      </c>
      <c r="AL22" s="79">
        <f t="shared" si="9"/>
        <v>33</v>
      </c>
      <c r="AM22" s="80">
        <v>1.6199999999999999</v>
      </c>
      <c r="AN22" s="81">
        <v>2.0699999999999998</v>
      </c>
      <c r="AR22" s="99">
        <v>33</v>
      </c>
      <c r="AS22" s="100">
        <v>27.67</v>
      </c>
      <c r="AT22" s="101">
        <v>24.5</v>
      </c>
      <c r="AW22" t="str">
        <f t="shared" si="10"/>
        <v/>
      </c>
      <c r="AY22" t="str">
        <f t="shared" si="11"/>
        <v/>
      </c>
    </row>
    <row r="23" spans="1:51" x14ac:dyDescent="0.3">
      <c r="A23" s="5">
        <v>34</v>
      </c>
      <c r="B23" s="4">
        <v>40.54</v>
      </c>
      <c r="C23" s="4">
        <v>35.979999999999997</v>
      </c>
      <c r="F23" t="str">
        <f t="shared" si="0"/>
        <v/>
      </c>
      <c r="H23" s="1" t="str">
        <f t="shared" si="1"/>
        <v/>
      </c>
      <c r="J23" s="41"/>
      <c r="K23" s="9"/>
      <c r="L23" s="9"/>
      <c r="O23" s="24">
        <f t="shared" si="2"/>
        <v>34</v>
      </c>
      <c r="P23" s="25">
        <v>0.69</v>
      </c>
      <c r="Q23" s="26">
        <v>0.69</v>
      </c>
      <c r="R23" s="54">
        <f t="shared" si="3"/>
        <v>0</v>
      </c>
      <c r="S23" s="39"/>
      <c r="T23" s="35" t="str">
        <f t="shared" si="4"/>
        <v/>
      </c>
      <c r="U23" s="39"/>
      <c r="V23" s="35" t="str">
        <f t="shared" si="5"/>
        <v/>
      </c>
      <c r="W23" s="1"/>
      <c r="X23" s="41"/>
      <c r="Y23" s="30"/>
      <c r="Z23" s="30"/>
      <c r="AC23" s="1" t="str">
        <f t="shared" si="6"/>
        <v/>
      </c>
      <c r="AE23" s="1" t="str">
        <f t="shared" si="7"/>
        <v/>
      </c>
      <c r="AF23" s="79">
        <f t="shared" si="8"/>
        <v>34</v>
      </c>
      <c r="AG23" s="80">
        <v>2.13</v>
      </c>
      <c r="AH23" s="81">
        <v>2.6</v>
      </c>
      <c r="AL23" s="79">
        <f t="shared" si="9"/>
        <v>34</v>
      </c>
      <c r="AM23" s="80">
        <v>1.81</v>
      </c>
      <c r="AN23" s="81">
        <v>2.3199999999999998</v>
      </c>
      <c r="AR23" s="99">
        <v>34</v>
      </c>
      <c r="AS23" s="100">
        <v>28.45</v>
      </c>
      <c r="AT23" s="101">
        <v>25.02</v>
      </c>
      <c r="AW23" t="str">
        <f t="shared" si="10"/>
        <v/>
      </c>
      <c r="AY23" t="str">
        <f t="shared" si="11"/>
        <v/>
      </c>
    </row>
    <row r="24" spans="1:51" x14ac:dyDescent="0.3">
      <c r="A24" s="5">
        <v>35</v>
      </c>
      <c r="B24" s="4">
        <v>40.980000000000004</v>
      </c>
      <c r="C24" s="4">
        <v>36.369999999999997</v>
      </c>
      <c r="F24" t="str">
        <f t="shared" si="0"/>
        <v/>
      </c>
      <c r="H24" s="1" t="str">
        <f t="shared" si="1"/>
        <v/>
      </c>
      <c r="J24" s="41"/>
      <c r="K24" s="9"/>
      <c r="L24" s="9"/>
      <c r="O24" s="24">
        <f t="shared" si="2"/>
        <v>35</v>
      </c>
      <c r="P24" s="25">
        <v>0.72</v>
      </c>
      <c r="Q24" s="26">
        <v>0.72</v>
      </c>
      <c r="R24" s="54">
        <f t="shared" si="3"/>
        <v>0</v>
      </c>
      <c r="S24" s="39"/>
      <c r="T24" s="35" t="str">
        <f t="shared" si="4"/>
        <v/>
      </c>
      <c r="U24" s="39"/>
      <c r="V24" s="35" t="str">
        <f t="shared" si="5"/>
        <v/>
      </c>
      <c r="W24" s="1"/>
      <c r="X24" s="41"/>
      <c r="Y24" s="30"/>
      <c r="Z24" s="30"/>
      <c r="AC24" s="1" t="str">
        <f t="shared" si="6"/>
        <v/>
      </c>
      <c r="AE24" s="1" t="str">
        <f t="shared" si="7"/>
        <v/>
      </c>
      <c r="AF24" s="79">
        <f t="shared" si="8"/>
        <v>35</v>
      </c>
      <c r="AG24" s="80">
        <v>2.35</v>
      </c>
      <c r="AH24" s="81">
        <v>2.8600000000000003</v>
      </c>
      <c r="AL24" s="79">
        <f t="shared" si="9"/>
        <v>35</v>
      </c>
      <c r="AM24" s="80">
        <v>2.02</v>
      </c>
      <c r="AN24" s="81">
        <v>2.5799999999999996</v>
      </c>
      <c r="AR24" s="99">
        <v>35</v>
      </c>
      <c r="AS24" s="100">
        <v>28.89</v>
      </c>
      <c r="AT24" s="101">
        <v>25.39</v>
      </c>
      <c r="AW24" t="str">
        <f t="shared" si="10"/>
        <v/>
      </c>
      <c r="AY24" t="str">
        <f t="shared" si="11"/>
        <v/>
      </c>
    </row>
    <row r="25" spans="1:51" x14ac:dyDescent="0.3">
      <c r="A25" s="5">
        <v>36</v>
      </c>
      <c r="B25" s="4">
        <v>41.230000000000004</v>
      </c>
      <c r="C25" s="4">
        <v>36.78</v>
      </c>
      <c r="F25" t="str">
        <f t="shared" si="0"/>
        <v/>
      </c>
      <c r="H25" s="1" t="str">
        <f t="shared" si="1"/>
        <v/>
      </c>
      <c r="J25" s="41"/>
      <c r="K25" s="9"/>
      <c r="L25" s="9"/>
      <c r="O25" s="24">
        <f t="shared" si="2"/>
        <v>36</v>
      </c>
      <c r="P25" s="25">
        <v>0.74</v>
      </c>
      <c r="Q25" s="26">
        <v>0.74</v>
      </c>
      <c r="R25" s="54">
        <f t="shared" si="3"/>
        <v>0</v>
      </c>
      <c r="S25" s="39"/>
      <c r="T25" s="35" t="str">
        <f t="shared" si="4"/>
        <v/>
      </c>
      <c r="U25" s="39"/>
      <c r="V25" s="35" t="str">
        <f t="shared" si="5"/>
        <v/>
      </c>
      <c r="W25" s="1"/>
      <c r="X25" s="41"/>
      <c r="Y25" s="30"/>
      <c r="Z25" s="30"/>
      <c r="AC25" s="1" t="str">
        <f t="shared" si="6"/>
        <v/>
      </c>
      <c r="AE25" s="1" t="str">
        <f t="shared" si="7"/>
        <v/>
      </c>
      <c r="AF25" s="79">
        <f t="shared" si="8"/>
        <v>36</v>
      </c>
      <c r="AG25" s="80">
        <v>2.6</v>
      </c>
      <c r="AH25" s="81">
        <v>3.14</v>
      </c>
      <c r="AL25" s="79">
        <f t="shared" si="9"/>
        <v>36</v>
      </c>
      <c r="AM25" s="80">
        <v>2.27</v>
      </c>
      <c r="AN25" s="81">
        <v>2.8600000000000003</v>
      </c>
      <c r="AR25" s="99">
        <v>36</v>
      </c>
      <c r="AS25" s="100">
        <v>29.34</v>
      </c>
      <c r="AT25" s="101">
        <v>25.78</v>
      </c>
      <c r="AW25" t="str">
        <f t="shared" si="10"/>
        <v/>
      </c>
      <c r="AY25" t="str">
        <f t="shared" si="11"/>
        <v/>
      </c>
    </row>
    <row r="26" spans="1:51" x14ac:dyDescent="0.3">
      <c r="A26" s="5">
        <v>37</v>
      </c>
      <c r="B26" s="4">
        <v>42.12</v>
      </c>
      <c r="C26" s="4">
        <v>37.19</v>
      </c>
      <c r="F26" t="str">
        <f t="shared" si="0"/>
        <v/>
      </c>
      <c r="H26" s="1" t="str">
        <f t="shared" si="1"/>
        <v/>
      </c>
      <c r="J26" s="41"/>
      <c r="K26" s="9"/>
      <c r="L26" s="9"/>
      <c r="O26" s="24">
        <f t="shared" si="2"/>
        <v>37</v>
      </c>
      <c r="P26" s="25">
        <v>0.76</v>
      </c>
      <c r="Q26" s="26">
        <v>0.76</v>
      </c>
      <c r="R26" s="54">
        <f t="shared" si="3"/>
        <v>0</v>
      </c>
      <c r="S26" s="39"/>
      <c r="T26" s="35" t="str">
        <f t="shared" si="4"/>
        <v/>
      </c>
      <c r="U26" s="39"/>
      <c r="V26" s="35" t="str">
        <f t="shared" si="5"/>
        <v/>
      </c>
      <c r="W26" s="1"/>
      <c r="X26" s="41"/>
      <c r="Y26" s="30"/>
      <c r="Z26" s="30"/>
      <c r="AC26" s="1" t="str">
        <f t="shared" si="6"/>
        <v/>
      </c>
      <c r="AE26" s="1" t="str">
        <f t="shared" si="7"/>
        <v/>
      </c>
      <c r="AF26" s="79">
        <f t="shared" si="8"/>
        <v>37</v>
      </c>
      <c r="AG26" s="80">
        <v>2.8800000000000003</v>
      </c>
      <c r="AH26" s="81">
        <v>3.44</v>
      </c>
      <c r="AL26" s="79">
        <f t="shared" si="9"/>
        <v>37</v>
      </c>
      <c r="AM26" s="80">
        <v>2.5500000000000003</v>
      </c>
      <c r="AN26" s="81">
        <v>3.16</v>
      </c>
      <c r="AR26" s="99">
        <v>37</v>
      </c>
      <c r="AS26" s="100">
        <v>29.99</v>
      </c>
      <c r="AT26" s="101">
        <v>26.509999999999998</v>
      </c>
      <c r="AW26" t="str">
        <f t="shared" si="10"/>
        <v/>
      </c>
      <c r="AY26" t="str">
        <f t="shared" si="11"/>
        <v/>
      </c>
    </row>
    <row r="27" spans="1:51" x14ac:dyDescent="0.3">
      <c r="A27" s="5">
        <v>38</v>
      </c>
      <c r="B27" s="4">
        <v>43.25</v>
      </c>
      <c r="C27" s="4">
        <v>38.190000000000005</v>
      </c>
      <c r="F27" t="str">
        <f t="shared" si="0"/>
        <v/>
      </c>
      <c r="H27" s="1" t="str">
        <f t="shared" si="1"/>
        <v/>
      </c>
      <c r="J27" s="41"/>
      <c r="K27" s="9"/>
      <c r="L27" s="9"/>
      <c r="O27" s="24">
        <f t="shared" si="2"/>
        <v>38</v>
      </c>
      <c r="P27" s="25">
        <v>0.78</v>
      </c>
      <c r="Q27" s="26">
        <v>0.78</v>
      </c>
      <c r="R27" s="54">
        <f t="shared" si="3"/>
        <v>0</v>
      </c>
      <c r="S27" s="39"/>
      <c r="T27" s="35" t="str">
        <f t="shared" si="4"/>
        <v/>
      </c>
      <c r="U27" s="39"/>
      <c r="V27" s="35" t="str">
        <f t="shared" si="5"/>
        <v/>
      </c>
      <c r="W27" s="1"/>
      <c r="X27" s="41"/>
      <c r="Y27" s="30"/>
      <c r="Z27" s="30"/>
      <c r="AC27" s="1" t="str">
        <f t="shared" si="6"/>
        <v/>
      </c>
      <c r="AE27" s="1" t="str">
        <f t="shared" si="7"/>
        <v/>
      </c>
      <c r="AF27" s="79">
        <f t="shared" si="8"/>
        <v>38</v>
      </c>
      <c r="AG27" s="80">
        <v>3.19</v>
      </c>
      <c r="AH27" s="81">
        <v>3.76</v>
      </c>
      <c r="AL27" s="79">
        <f t="shared" si="9"/>
        <v>38</v>
      </c>
      <c r="AM27" s="80">
        <v>2.85</v>
      </c>
      <c r="AN27" s="81">
        <v>3.47</v>
      </c>
      <c r="AR27" s="99">
        <v>38</v>
      </c>
      <c r="AS27" s="100">
        <v>30.669999999999998</v>
      </c>
      <c r="AT27" s="101">
        <v>27.25</v>
      </c>
      <c r="AW27" t="str">
        <f t="shared" si="10"/>
        <v/>
      </c>
      <c r="AY27" t="str">
        <f t="shared" si="11"/>
        <v/>
      </c>
    </row>
    <row r="28" spans="1:51" x14ac:dyDescent="0.3">
      <c r="A28" s="5">
        <v>39</v>
      </c>
      <c r="B28" s="4">
        <v>44.41</v>
      </c>
      <c r="C28" s="4">
        <v>39.199999999999996</v>
      </c>
      <c r="F28" t="str">
        <f t="shared" si="0"/>
        <v/>
      </c>
      <c r="H28" s="1" t="str">
        <f t="shared" si="1"/>
        <v/>
      </c>
      <c r="J28" s="41"/>
      <c r="K28" s="9"/>
      <c r="L28" s="9"/>
      <c r="O28" s="24">
        <f t="shared" si="2"/>
        <v>39</v>
      </c>
      <c r="P28" s="25">
        <v>0.8</v>
      </c>
      <c r="Q28" s="26">
        <v>0.8</v>
      </c>
      <c r="R28" s="54">
        <f t="shared" si="3"/>
        <v>0</v>
      </c>
      <c r="S28" s="39"/>
      <c r="T28" s="35" t="str">
        <f t="shared" si="4"/>
        <v/>
      </c>
      <c r="U28" s="39"/>
      <c r="V28" s="35" t="str">
        <f t="shared" si="5"/>
        <v/>
      </c>
      <c r="W28" s="1"/>
      <c r="X28" s="41"/>
      <c r="Y28" s="30"/>
      <c r="Z28" s="30"/>
      <c r="AC28" s="1" t="str">
        <f t="shared" si="6"/>
        <v/>
      </c>
      <c r="AE28" s="1" t="str">
        <f t="shared" si="7"/>
        <v/>
      </c>
      <c r="AF28" s="79">
        <f t="shared" si="8"/>
        <v>39</v>
      </c>
      <c r="AG28" s="80">
        <v>3.5500000000000003</v>
      </c>
      <c r="AH28" s="81">
        <v>4.1100000000000003</v>
      </c>
      <c r="AL28" s="79">
        <f t="shared" si="9"/>
        <v>39</v>
      </c>
      <c r="AM28" s="80">
        <v>3.2</v>
      </c>
      <c r="AN28" s="81">
        <v>3.81</v>
      </c>
      <c r="AR28" s="99">
        <v>39</v>
      </c>
      <c r="AS28" s="100">
        <v>31.36</v>
      </c>
      <c r="AT28" s="101">
        <v>28.18</v>
      </c>
      <c r="AW28" t="str">
        <f t="shared" si="10"/>
        <v/>
      </c>
      <c r="AY28" t="str">
        <f t="shared" si="11"/>
        <v/>
      </c>
    </row>
    <row r="29" spans="1:51" x14ac:dyDescent="0.3">
      <c r="A29" s="5">
        <v>40</v>
      </c>
      <c r="B29" s="4">
        <v>45.589999999999996</v>
      </c>
      <c r="C29" s="4">
        <v>40.239999999999995</v>
      </c>
      <c r="F29" t="str">
        <f t="shared" si="0"/>
        <v/>
      </c>
      <c r="H29" s="1" t="str">
        <f t="shared" si="1"/>
        <v/>
      </c>
      <c r="J29" s="41"/>
      <c r="K29" s="9"/>
      <c r="L29" s="9"/>
      <c r="O29" s="24">
        <f t="shared" si="2"/>
        <v>40</v>
      </c>
      <c r="P29" s="25">
        <v>0.82</v>
      </c>
      <c r="Q29" s="26">
        <v>0.82</v>
      </c>
      <c r="R29" s="54">
        <f t="shared" si="3"/>
        <v>0</v>
      </c>
      <c r="S29" s="39"/>
      <c r="T29" s="35" t="str">
        <f t="shared" si="4"/>
        <v/>
      </c>
      <c r="U29" s="39"/>
      <c r="V29" s="35" t="str">
        <f t="shared" si="5"/>
        <v/>
      </c>
      <c r="W29" s="1"/>
      <c r="X29" s="41"/>
      <c r="Y29" s="30"/>
      <c r="Z29" s="30"/>
      <c r="AC29" s="1" t="str">
        <f t="shared" si="6"/>
        <v/>
      </c>
      <c r="AE29" s="1" t="str">
        <f t="shared" si="7"/>
        <v/>
      </c>
      <c r="AF29" s="79">
        <f t="shared" si="8"/>
        <v>40</v>
      </c>
      <c r="AG29" s="80">
        <v>3.94</v>
      </c>
      <c r="AH29" s="81">
        <v>4.47</v>
      </c>
      <c r="AL29" s="79">
        <f t="shared" si="9"/>
        <v>40</v>
      </c>
      <c r="AM29" s="80">
        <v>3.58</v>
      </c>
      <c r="AN29" s="81">
        <v>4.17</v>
      </c>
      <c r="AR29" s="99">
        <v>40</v>
      </c>
      <c r="AS29" s="100">
        <v>32.47</v>
      </c>
      <c r="AT29" s="101">
        <v>29.15</v>
      </c>
      <c r="AW29" t="str">
        <f t="shared" si="10"/>
        <v/>
      </c>
      <c r="AY29" t="str">
        <f t="shared" si="11"/>
        <v/>
      </c>
    </row>
    <row r="30" spans="1:51" x14ac:dyDescent="0.3">
      <c r="A30" s="5">
        <v>41</v>
      </c>
      <c r="B30" s="4">
        <v>46.800000000000004</v>
      </c>
      <c r="C30" s="4">
        <v>41.300000000000004</v>
      </c>
      <c r="F30" t="str">
        <f t="shared" si="0"/>
        <v/>
      </c>
      <c r="H30" s="1" t="str">
        <f t="shared" si="1"/>
        <v/>
      </c>
      <c r="J30" s="41"/>
      <c r="K30" s="9"/>
      <c r="L30" s="9"/>
      <c r="O30" s="24">
        <f t="shared" si="2"/>
        <v>41</v>
      </c>
      <c r="P30" s="25">
        <v>0.92</v>
      </c>
      <c r="Q30" s="26">
        <v>0.92</v>
      </c>
      <c r="R30" s="54">
        <f t="shared" si="3"/>
        <v>0</v>
      </c>
      <c r="S30" s="39"/>
      <c r="T30" s="35" t="str">
        <f t="shared" si="4"/>
        <v/>
      </c>
      <c r="U30" s="39"/>
      <c r="V30" s="35" t="str">
        <f t="shared" si="5"/>
        <v/>
      </c>
      <c r="W30" s="1"/>
      <c r="X30" s="41"/>
      <c r="Y30" s="30"/>
      <c r="Z30" s="30"/>
      <c r="AC30" s="1" t="str">
        <f t="shared" si="6"/>
        <v/>
      </c>
      <c r="AE30" s="1" t="str">
        <f t="shared" si="7"/>
        <v/>
      </c>
      <c r="AF30" s="79">
        <f t="shared" si="8"/>
        <v>41</v>
      </c>
      <c r="AG30" s="80">
        <v>4.3899999999999997</v>
      </c>
      <c r="AH30" s="81">
        <v>4.87</v>
      </c>
      <c r="AL30" s="79">
        <f t="shared" si="9"/>
        <v>41</v>
      </c>
      <c r="AM30" s="80">
        <v>4.01</v>
      </c>
      <c r="AN30" s="81">
        <v>4.5599999999999996</v>
      </c>
      <c r="AR30" s="99">
        <v>41</v>
      </c>
      <c r="AS30" s="100">
        <v>33.21</v>
      </c>
      <c r="AT30" s="101">
        <v>29.77</v>
      </c>
      <c r="AW30" t="str">
        <f t="shared" si="10"/>
        <v/>
      </c>
      <c r="AY30" t="str">
        <f t="shared" si="11"/>
        <v/>
      </c>
    </row>
    <row r="31" spans="1:51" x14ac:dyDescent="0.3">
      <c r="A31" s="5">
        <v>42</v>
      </c>
      <c r="B31" s="4">
        <v>48.04</v>
      </c>
      <c r="C31" s="4">
        <v>42.38</v>
      </c>
      <c r="F31" t="str">
        <f t="shared" si="0"/>
        <v/>
      </c>
      <c r="H31" s="1" t="str">
        <f t="shared" si="1"/>
        <v/>
      </c>
      <c r="J31" s="41"/>
      <c r="K31" s="9"/>
      <c r="L31" s="9"/>
      <c r="O31" s="24">
        <f t="shared" si="2"/>
        <v>42</v>
      </c>
      <c r="P31" s="25">
        <v>1.02</v>
      </c>
      <c r="Q31" s="26">
        <v>1.02</v>
      </c>
      <c r="R31" s="54">
        <f t="shared" si="3"/>
        <v>0</v>
      </c>
      <c r="S31" s="39"/>
      <c r="T31" s="35" t="str">
        <f t="shared" si="4"/>
        <v/>
      </c>
      <c r="U31" s="39"/>
      <c r="V31" s="35" t="str">
        <f t="shared" si="5"/>
        <v/>
      </c>
      <c r="W31" s="1"/>
      <c r="X31" s="41"/>
      <c r="Y31" s="30"/>
      <c r="Z31" s="30"/>
      <c r="AC31" s="1" t="str">
        <f t="shared" si="6"/>
        <v/>
      </c>
      <c r="AE31" s="1" t="str">
        <f t="shared" si="7"/>
        <v/>
      </c>
      <c r="AF31" s="79">
        <f t="shared" si="8"/>
        <v>42</v>
      </c>
      <c r="AG31" s="80">
        <v>4.8900000000000006</v>
      </c>
      <c r="AH31" s="81">
        <v>5.31</v>
      </c>
      <c r="AL31" s="79">
        <f t="shared" si="9"/>
        <v>42</v>
      </c>
      <c r="AM31" s="80">
        <v>4.49</v>
      </c>
      <c r="AN31" s="81">
        <v>4.9899999999999993</v>
      </c>
      <c r="AR31" s="99">
        <v>42</v>
      </c>
      <c r="AS31" s="100">
        <v>34.18</v>
      </c>
      <c r="AT31" s="101">
        <v>30.41</v>
      </c>
      <c r="AW31" t="str">
        <f t="shared" si="10"/>
        <v/>
      </c>
      <c r="AY31" t="str">
        <f t="shared" si="11"/>
        <v/>
      </c>
    </row>
    <row r="32" spans="1:51" x14ac:dyDescent="0.3">
      <c r="A32" s="5">
        <v>43</v>
      </c>
      <c r="B32" s="4">
        <v>49.31</v>
      </c>
      <c r="C32" s="4">
        <v>43.48</v>
      </c>
      <c r="F32" t="str">
        <f t="shared" si="0"/>
        <v/>
      </c>
      <c r="H32" s="1" t="str">
        <f t="shared" si="1"/>
        <v/>
      </c>
      <c r="J32" s="41"/>
      <c r="K32" s="9"/>
      <c r="L32" s="9"/>
      <c r="O32" s="24">
        <f t="shared" si="2"/>
        <v>43</v>
      </c>
      <c r="P32" s="25">
        <v>1.1200000000000001</v>
      </c>
      <c r="Q32" s="26">
        <v>1.1200000000000001</v>
      </c>
      <c r="R32" s="54">
        <f t="shared" si="3"/>
        <v>0</v>
      </c>
      <c r="S32" s="39"/>
      <c r="T32" s="35" t="str">
        <f t="shared" si="4"/>
        <v/>
      </c>
      <c r="U32" s="39"/>
      <c r="V32" s="35" t="str">
        <f t="shared" si="5"/>
        <v/>
      </c>
      <c r="W32" s="1"/>
      <c r="X32" s="41"/>
      <c r="Y32" s="30"/>
      <c r="Z32" s="30"/>
      <c r="AC32" s="1" t="str">
        <f t="shared" si="6"/>
        <v/>
      </c>
      <c r="AE32" s="1" t="str">
        <f t="shared" si="7"/>
        <v/>
      </c>
      <c r="AF32" s="79">
        <f t="shared" si="8"/>
        <v>43</v>
      </c>
      <c r="AG32" s="80">
        <v>5.45</v>
      </c>
      <c r="AH32" s="81">
        <v>5.78</v>
      </c>
      <c r="AL32" s="79">
        <f t="shared" si="9"/>
        <v>43</v>
      </c>
      <c r="AM32" s="80">
        <v>5.0299999999999994</v>
      </c>
      <c r="AN32" s="81">
        <v>5.44</v>
      </c>
      <c r="AR32" s="99">
        <v>43</v>
      </c>
      <c r="AS32" s="100">
        <v>35.19</v>
      </c>
      <c r="AT32" s="101">
        <v>31.25</v>
      </c>
      <c r="AW32" t="str">
        <f t="shared" si="10"/>
        <v/>
      </c>
      <c r="AY32" t="str">
        <f t="shared" si="11"/>
        <v/>
      </c>
    </row>
    <row r="33" spans="1:51" x14ac:dyDescent="0.3">
      <c r="A33" s="5">
        <v>44</v>
      </c>
      <c r="B33" s="4">
        <v>50.61</v>
      </c>
      <c r="C33" s="4">
        <v>44.6</v>
      </c>
      <c r="F33" t="str">
        <f t="shared" si="0"/>
        <v/>
      </c>
      <c r="H33" s="1" t="str">
        <f t="shared" si="1"/>
        <v/>
      </c>
      <c r="J33" s="41"/>
      <c r="K33" s="9"/>
      <c r="L33" s="9"/>
      <c r="O33" s="24">
        <f t="shared" si="2"/>
        <v>44</v>
      </c>
      <c r="P33" s="25">
        <v>1.23</v>
      </c>
      <c r="Q33" s="26">
        <v>1.23</v>
      </c>
      <c r="R33" s="54">
        <f t="shared" si="3"/>
        <v>0</v>
      </c>
      <c r="S33" s="39"/>
      <c r="T33" s="35" t="str">
        <f t="shared" si="4"/>
        <v/>
      </c>
      <c r="U33" s="39"/>
      <c r="V33" s="35" t="str">
        <f t="shared" si="5"/>
        <v/>
      </c>
      <c r="W33" s="1"/>
      <c r="X33" s="41"/>
      <c r="Y33" s="30"/>
      <c r="Z33" s="30"/>
      <c r="AC33" s="1" t="str">
        <f t="shared" si="6"/>
        <v/>
      </c>
      <c r="AE33" s="1" t="str">
        <f t="shared" si="7"/>
        <v/>
      </c>
      <c r="AF33" s="79">
        <f t="shared" si="8"/>
        <v>44</v>
      </c>
      <c r="AG33" s="80">
        <v>6.09</v>
      </c>
      <c r="AH33" s="81">
        <v>6.2899999999999991</v>
      </c>
      <c r="AL33" s="79">
        <f t="shared" si="9"/>
        <v>44</v>
      </c>
      <c r="AM33" s="80">
        <v>5.64</v>
      </c>
      <c r="AN33" s="81">
        <v>5.94</v>
      </c>
      <c r="AR33" s="99">
        <v>44</v>
      </c>
      <c r="AS33" s="100">
        <v>36.229999999999997</v>
      </c>
      <c r="AT33" s="101">
        <v>32.11</v>
      </c>
      <c r="AW33" t="str">
        <f t="shared" si="10"/>
        <v/>
      </c>
      <c r="AY33" t="str">
        <f t="shared" si="11"/>
        <v/>
      </c>
    </row>
    <row r="34" spans="1:51" x14ac:dyDescent="0.3">
      <c r="A34" s="5">
        <v>45</v>
      </c>
      <c r="B34" s="4">
        <v>51.94</v>
      </c>
      <c r="C34" s="4">
        <v>45.75</v>
      </c>
      <c r="F34" t="str">
        <f t="shared" si="0"/>
        <v/>
      </c>
      <c r="H34" s="1" t="str">
        <f t="shared" si="1"/>
        <v/>
      </c>
      <c r="J34" s="41"/>
      <c r="K34" s="9"/>
      <c r="L34" s="9"/>
      <c r="O34" s="24">
        <f t="shared" si="2"/>
        <v>45</v>
      </c>
      <c r="P34" s="25">
        <v>1.34</v>
      </c>
      <c r="Q34" s="26">
        <v>1.34</v>
      </c>
      <c r="R34" s="54">
        <f t="shared" si="3"/>
        <v>0</v>
      </c>
      <c r="S34" s="39"/>
      <c r="T34" s="35" t="str">
        <f t="shared" si="4"/>
        <v/>
      </c>
      <c r="U34" s="39"/>
      <c r="V34" s="35" t="str">
        <f t="shared" si="5"/>
        <v/>
      </c>
      <c r="W34" s="1"/>
      <c r="X34" s="41"/>
      <c r="Y34" s="30"/>
      <c r="Z34" s="30"/>
      <c r="AC34" s="1" t="str">
        <f t="shared" si="6"/>
        <v/>
      </c>
      <c r="AE34" s="1" t="str">
        <f t="shared" si="7"/>
        <v/>
      </c>
      <c r="AF34" s="79">
        <f t="shared" si="8"/>
        <v>45</v>
      </c>
      <c r="AG34" s="80">
        <v>6.79</v>
      </c>
      <c r="AH34" s="81">
        <v>6.8500000000000005</v>
      </c>
      <c r="AL34" s="79">
        <f t="shared" si="9"/>
        <v>45</v>
      </c>
      <c r="AM34" s="80">
        <v>6.31</v>
      </c>
      <c r="AN34" s="81">
        <v>6.4799999999999995</v>
      </c>
      <c r="AR34" s="99">
        <v>45</v>
      </c>
      <c r="AS34" s="100">
        <v>37.769999999999996</v>
      </c>
      <c r="AT34" s="101">
        <v>33.410000000000004</v>
      </c>
      <c r="AW34" t="str">
        <f t="shared" si="10"/>
        <v/>
      </c>
      <c r="AY34" t="str">
        <f t="shared" si="11"/>
        <v/>
      </c>
    </row>
    <row r="35" spans="1:51" x14ac:dyDescent="0.3">
      <c r="A35" s="5">
        <v>46</v>
      </c>
      <c r="B35" s="4">
        <v>53.3</v>
      </c>
      <c r="C35" s="4">
        <v>46.93</v>
      </c>
      <c r="F35" t="str">
        <f t="shared" ref="F35:F54" si="12">IF($E$3=A35,$E$5*B35,"")</f>
        <v/>
      </c>
      <c r="H35" s="1" t="str">
        <f t="shared" ref="H35:H54" si="13">IF($G$3=A35,$G$5*C35,"")</f>
        <v/>
      </c>
      <c r="J35" s="41"/>
      <c r="K35" s="9"/>
      <c r="L35" s="9"/>
      <c r="O35" s="24">
        <f t="shared" si="2"/>
        <v>46</v>
      </c>
      <c r="P35" s="25">
        <v>1.34</v>
      </c>
      <c r="Q35" s="26">
        <v>1.34</v>
      </c>
      <c r="R35" s="54">
        <f t="shared" si="3"/>
        <v>0</v>
      </c>
      <c r="S35" s="39"/>
      <c r="T35" s="35" t="str">
        <f t="shared" si="4"/>
        <v/>
      </c>
      <c r="U35" s="39"/>
      <c r="V35" s="35" t="str">
        <f t="shared" si="5"/>
        <v/>
      </c>
      <c r="W35" s="1"/>
      <c r="X35" s="41"/>
      <c r="Y35" s="30"/>
      <c r="Z35" s="30"/>
      <c r="AC35" s="1" t="str">
        <f t="shared" si="6"/>
        <v/>
      </c>
      <c r="AE35" s="1" t="str">
        <f t="shared" si="7"/>
        <v/>
      </c>
      <c r="AF35" s="79">
        <f t="shared" si="8"/>
        <v>46</v>
      </c>
      <c r="AG35" s="80">
        <v>7.5900000000000007</v>
      </c>
      <c r="AH35" s="81">
        <v>7.46</v>
      </c>
      <c r="AL35" s="79">
        <f t="shared" si="9"/>
        <v>46</v>
      </c>
      <c r="AM35" s="80">
        <v>7.07</v>
      </c>
      <c r="AN35" s="81">
        <v>7.07</v>
      </c>
      <c r="AR35" s="99">
        <v>46</v>
      </c>
      <c r="AS35" s="100">
        <v>38.43</v>
      </c>
      <c r="AT35" s="101">
        <v>34.119999999999997</v>
      </c>
      <c r="AW35" t="str">
        <f t="shared" si="10"/>
        <v/>
      </c>
      <c r="AY35" t="str">
        <f t="shared" si="11"/>
        <v/>
      </c>
    </row>
    <row r="36" spans="1:51" x14ac:dyDescent="0.3">
      <c r="A36" s="5">
        <v>47</v>
      </c>
      <c r="B36" s="4">
        <v>54.71</v>
      </c>
      <c r="C36" s="4">
        <v>48.13</v>
      </c>
      <c r="F36" t="str">
        <f t="shared" si="12"/>
        <v/>
      </c>
      <c r="H36" s="1" t="str">
        <f t="shared" si="13"/>
        <v/>
      </c>
      <c r="J36" s="41"/>
      <c r="K36" s="9"/>
      <c r="L36" s="9"/>
      <c r="O36" s="24">
        <f t="shared" si="2"/>
        <v>47</v>
      </c>
      <c r="P36" s="25">
        <v>1.35</v>
      </c>
      <c r="Q36" s="26">
        <v>1.35</v>
      </c>
      <c r="R36" s="54">
        <f t="shared" si="3"/>
        <v>0</v>
      </c>
      <c r="S36" s="39"/>
      <c r="T36" s="35" t="str">
        <f t="shared" si="4"/>
        <v/>
      </c>
      <c r="U36" s="39"/>
      <c r="V36" s="35" t="str">
        <f t="shared" si="5"/>
        <v/>
      </c>
      <c r="W36" s="1"/>
      <c r="X36" s="41"/>
      <c r="Y36" s="30"/>
      <c r="Z36" s="30"/>
      <c r="AC36" s="1" t="str">
        <f t="shared" si="6"/>
        <v/>
      </c>
      <c r="AE36" s="1" t="str">
        <f t="shared" si="7"/>
        <v/>
      </c>
      <c r="AF36" s="79">
        <f t="shared" si="8"/>
        <v>47</v>
      </c>
      <c r="AG36" s="80">
        <v>8.4600000000000009</v>
      </c>
      <c r="AH36" s="81">
        <v>8.120000000000001</v>
      </c>
      <c r="AL36" s="79">
        <f t="shared" si="9"/>
        <v>47</v>
      </c>
      <c r="AM36" s="80">
        <v>7.9</v>
      </c>
      <c r="AN36" s="81">
        <v>7.71</v>
      </c>
      <c r="AR36" s="99">
        <v>47</v>
      </c>
      <c r="AS36" s="100">
        <v>39.61</v>
      </c>
      <c r="AT36" s="101">
        <v>34.86</v>
      </c>
      <c r="AW36" t="str">
        <f t="shared" si="10"/>
        <v/>
      </c>
      <c r="AY36" t="str">
        <f t="shared" si="11"/>
        <v/>
      </c>
    </row>
    <row r="37" spans="1:51" x14ac:dyDescent="0.3">
      <c r="A37" s="5">
        <v>48</v>
      </c>
      <c r="B37" s="4">
        <v>56.15</v>
      </c>
      <c r="C37" s="4">
        <v>49.37</v>
      </c>
      <c r="F37" t="str">
        <f t="shared" si="12"/>
        <v/>
      </c>
      <c r="H37" s="1" t="str">
        <f t="shared" si="13"/>
        <v/>
      </c>
      <c r="J37" s="41"/>
      <c r="K37" s="9"/>
      <c r="L37" s="9"/>
      <c r="O37" s="24">
        <f t="shared" si="2"/>
        <v>48</v>
      </c>
      <c r="P37" s="25">
        <v>1.36</v>
      </c>
      <c r="Q37" s="26">
        <v>1.36</v>
      </c>
      <c r="R37" s="54">
        <f t="shared" si="3"/>
        <v>0</v>
      </c>
      <c r="S37" s="39"/>
      <c r="T37" s="35" t="str">
        <f t="shared" si="4"/>
        <v/>
      </c>
      <c r="U37" s="39"/>
      <c r="V37" s="35" t="str">
        <f t="shared" si="5"/>
        <v/>
      </c>
      <c r="W37" s="1"/>
      <c r="X37" s="41"/>
      <c r="Y37" s="30"/>
      <c r="Z37" s="30"/>
      <c r="AC37" s="1" t="str">
        <f t="shared" si="6"/>
        <v/>
      </c>
      <c r="AE37" s="1" t="str">
        <f t="shared" si="7"/>
        <v/>
      </c>
      <c r="AF37" s="79">
        <f t="shared" si="8"/>
        <v>48</v>
      </c>
      <c r="AG37" s="80">
        <v>9.4400000000000013</v>
      </c>
      <c r="AH37" s="81">
        <v>8.83</v>
      </c>
      <c r="AL37" s="79">
        <f t="shared" si="9"/>
        <v>48</v>
      </c>
      <c r="AM37" s="80">
        <v>8.82</v>
      </c>
      <c r="AN37" s="81">
        <v>8.4</v>
      </c>
      <c r="AR37" s="99">
        <v>48</v>
      </c>
      <c r="AS37" s="100">
        <v>40.83</v>
      </c>
      <c r="AT37" s="101">
        <v>35.83</v>
      </c>
      <c r="AW37" t="str">
        <f t="shared" si="10"/>
        <v/>
      </c>
      <c r="AY37" t="str">
        <f t="shared" si="11"/>
        <v/>
      </c>
    </row>
    <row r="38" spans="1:51" x14ac:dyDescent="0.3">
      <c r="A38" s="5">
        <v>49</v>
      </c>
      <c r="B38" s="4">
        <v>57.63</v>
      </c>
      <c r="C38" s="4">
        <v>50.63</v>
      </c>
      <c r="F38" t="str">
        <f t="shared" si="12"/>
        <v/>
      </c>
      <c r="H38" s="1" t="str">
        <f t="shared" si="13"/>
        <v/>
      </c>
      <c r="J38" s="41"/>
      <c r="K38" s="9"/>
      <c r="L38" s="9"/>
      <c r="O38" s="24">
        <f t="shared" si="2"/>
        <v>49</v>
      </c>
      <c r="P38" s="25">
        <v>1.36</v>
      </c>
      <c r="Q38" s="26">
        <v>1.36</v>
      </c>
      <c r="R38" s="54">
        <f t="shared" si="3"/>
        <v>0</v>
      </c>
      <c r="S38" s="39"/>
      <c r="T38" s="35" t="str">
        <f t="shared" si="4"/>
        <v/>
      </c>
      <c r="U38" s="39"/>
      <c r="V38" s="35" t="str">
        <f t="shared" si="5"/>
        <v/>
      </c>
      <c r="W38" s="1"/>
      <c r="X38" s="41"/>
      <c r="Y38" s="30"/>
      <c r="Z38" s="30"/>
      <c r="AC38" s="1" t="str">
        <f t="shared" si="6"/>
        <v/>
      </c>
      <c r="AE38" s="1" t="str">
        <f t="shared" si="7"/>
        <v/>
      </c>
      <c r="AF38" s="79">
        <f t="shared" si="8"/>
        <v>49</v>
      </c>
      <c r="AG38" s="80">
        <v>10.51</v>
      </c>
      <c r="AH38" s="81">
        <v>9.6100000000000012</v>
      </c>
      <c r="AL38" s="79">
        <f t="shared" si="9"/>
        <v>49</v>
      </c>
      <c r="AM38" s="80">
        <v>9.84</v>
      </c>
      <c r="AN38" s="81">
        <v>9.15</v>
      </c>
      <c r="AR38" s="99">
        <v>49</v>
      </c>
      <c r="AS38" s="100">
        <v>41.86</v>
      </c>
      <c r="AT38" s="101">
        <v>36.839999999999996</v>
      </c>
      <c r="AW38" t="str">
        <f t="shared" si="10"/>
        <v/>
      </c>
      <c r="AY38" t="str">
        <f t="shared" si="11"/>
        <v/>
      </c>
    </row>
    <row r="39" spans="1:51" x14ac:dyDescent="0.3">
      <c r="A39" s="5">
        <v>50</v>
      </c>
      <c r="B39" s="4">
        <v>59.16</v>
      </c>
      <c r="C39" s="4">
        <v>51.92</v>
      </c>
      <c r="F39" t="str">
        <f t="shared" si="12"/>
        <v/>
      </c>
      <c r="H39" s="1" t="str">
        <f t="shared" si="13"/>
        <v/>
      </c>
      <c r="J39" s="41"/>
      <c r="K39" s="9"/>
      <c r="L39" s="9"/>
      <c r="O39" s="24">
        <f t="shared" si="2"/>
        <v>50</v>
      </c>
      <c r="P39" s="25">
        <v>1.37</v>
      </c>
      <c r="Q39" s="26">
        <v>1.37</v>
      </c>
      <c r="R39" s="54">
        <f t="shared" si="3"/>
        <v>0</v>
      </c>
      <c r="S39" s="39"/>
      <c r="T39" s="35" t="str">
        <f t="shared" si="4"/>
        <v/>
      </c>
      <c r="U39" s="39"/>
      <c r="V39" s="35" t="str">
        <f t="shared" si="5"/>
        <v/>
      </c>
      <c r="W39" s="1"/>
      <c r="X39" s="41"/>
      <c r="Y39" s="30"/>
      <c r="Z39" s="30"/>
      <c r="AC39" s="1" t="str">
        <f t="shared" si="6"/>
        <v/>
      </c>
      <c r="AE39" s="1" t="str">
        <f t="shared" si="7"/>
        <v/>
      </c>
      <c r="AF39" s="79">
        <f t="shared" si="8"/>
        <v>50</v>
      </c>
      <c r="AG39" s="80">
        <v>11.700000000000001</v>
      </c>
      <c r="AH39" s="81">
        <v>10.45</v>
      </c>
      <c r="AL39" s="79">
        <f t="shared" si="9"/>
        <v>50</v>
      </c>
      <c r="AM39" s="80">
        <v>10.95</v>
      </c>
      <c r="AN39" s="81">
        <v>9.9600000000000009</v>
      </c>
      <c r="AR39" s="99">
        <v>50</v>
      </c>
      <c r="AS39" s="100">
        <v>43.2</v>
      </c>
      <c r="AT39" s="101">
        <v>37.89</v>
      </c>
      <c r="AW39" t="str">
        <f t="shared" si="10"/>
        <v/>
      </c>
      <c r="AY39" t="str">
        <f t="shared" si="11"/>
        <v/>
      </c>
    </row>
    <row r="40" spans="1:51" x14ac:dyDescent="0.3">
      <c r="A40" s="5">
        <v>51</v>
      </c>
      <c r="B40" s="4">
        <v>60.73</v>
      </c>
      <c r="C40" s="4">
        <v>53.25</v>
      </c>
      <c r="F40" t="str">
        <f t="shared" si="12"/>
        <v/>
      </c>
      <c r="H40" s="1" t="str">
        <f t="shared" si="13"/>
        <v/>
      </c>
      <c r="J40" s="41"/>
      <c r="K40" s="9"/>
      <c r="L40" s="9"/>
      <c r="O40" s="24">
        <f t="shared" si="2"/>
        <v>51</v>
      </c>
      <c r="P40" s="25">
        <v>1.41</v>
      </c>
      <c r="Q40" s="26">
        <v>1.41</v>
      </c>
      <c r="R40" s="54">
        <f t="shared" si="3"/>
        <v>0</v>
      </c>
      <c r="S40" s="39"/>
      <c r="T40" s="35" t="str">
        <f t="shared" si="4"/>
        <v/>
      </c>
      <c r="U40" s="39"/>
      <c r="V40" s="35" t="str">
        <f t="shared" si="5"/>
        <v/>
      </c>
      <c r="W40" s="1"/>
      <c r="X40" s="41"/>
      <c r="Y40" s="30"/>
      <c r="Z40" s="30"/>
      <c r="AC40" s="1" t="str">
        <f t="shared" si="6"/>
        <v/>
      </c>
      <c r="AE40" s="1" t="str">
        <f t="shared" si="7"/>
        <v/>
      </c>
      <c r="AF40" s="79">
        <f t="shared" si="8"/>
        <v>51</v>
      </c>
      <c r="AG40" s="80">
        <v>12.99</v>
      </c>
      <c r="AH40" s="81">
        <v>11.36</v>
      </c>
      <c r="AL40" s="79">
        <f t="shared" si="9"/>
        <v>51</v>
      </c>
      <c r="AM40" s="80">
        <v>12.149999999999999</v>
      </c>
      <c r="AN40" s="81">
        <v>10.82</v>
      </c>
      <c r="AR40" s="99">
        <v>51</v>
      </c>
      <c r="AS40" s="100">
        <v>43.82</v>
      </c>
      <c r="AT40" s="101">
        <v>38.03</v>
      </c>
      <c r="AW40" t="str">
        <f t="shared" si="10"/>
        <v/>
      </c>
      <c r="AY40" t="str">
        <f t="shared" si="11"/>
        <v/>
      </c>
    </row>
    <row r="41" spans="1:51" x14ac:dyDescent="0.3">
      <c r="A41" s="5">
        <v>52</v>
      </c>
      <c r="B41" s="4">
        <v>62.35</v>
      </c>
      <c r="C41" s="4">
        <v>54.6</v>
      </c>
      <c r="F41" t="str">
        <f t="shared" si="12"/>
        <v/>
      </c>
      <c r="H41" s="1" t="str">
        <f t="shared" si="13"/>
        <v/>
      </c>
      <c r="J41" s="41"/>
      <c r="K41" s="9"/>
      <c r="L41" s="9"/>
      <c r="O41" s="24">
        <f t="shared" si="2"/>
        <v>52</v>
      </c>
      <c r="P41" s="25">
        <v>1.45</v>
      </c>
      <c r="Q41" s="26">
        <v>1.45</v>
      </c>
      <c r="R41" s="54">
        <f t="shared" si="3"/>
        <v>0</v>
      </c>
      <c r="S41" s="39"/>
      <c r="T41" s="35" t="str">
        <f t="shared" si="4"/>
        <v/>
      </c>
      <c r="U41" s="39"/>
      <c r="V41" s="35" t="str">
        <f t="shared" si="5"/>
        <v/>
      </c>
      <c r="W41" s="1"/>
      <c r="X41" s="41"/>
      <c r="Y41" s="30"/>
      <c r="Z41" s="30"/>
      <c r="AC41" s="1" t="str">
        <f t="shared" si="6"/>
        <v/>
      </c>
      <c r="AE41" s="1" t="str">
        <f t="shared" si="7"/>
        <v/>
      </c>
      <c r="AF41" s="79">
        <f t="shared" si="8"/>
        <v>52</v>
      </c>
      <c r="AG41" s="80">
        <v>14.4</v>
      </c>
      <c r="AH41" s="81">
        <v>12.35</v>
      </c>
      <c r="AL41" s="79">
        <f t="shared" si="9"/>
        <v>52</v>
      </c>
      <c r="AM41" s="80">
        <v>13.45</v>
      </c>
      <c r="AN41" s="81">
        <v>11.74</v>
      </c>
      <c r="AR41" s="99">
        <v>52</v>
      </c>
      <c r="AS41" s="100">
        <v>45.269999999999996</v>
      </c>
      <c r="AT41" s="101">
        <v>39.129999999999995</v>
      </c>
      <c r="AW41" t="str">
        <f t="shared" si="10"/>
        <v/>
      </c>
      <c r="AY41" t="str">
        <f t="shared" si="11"/>
        <v/>
      </c>
    </row>
    <row r="42" spans="1:51" x14ac:dyDescent="0.3">
      <c r="A42" s="5">
        <v>53</v>
      </c>
      <c r="B42" s="4">
        <v>64.009999999999991</v>
      </c>
      <c r="C42" s="4">
        <v>55.980000000000004</v>
      </c>
      <c r="F42" t="str">
        <f t="shared" si="12"/>
        <v/>
      </c>
      <c r="H42" s="1" t="str">
        <f t="shared" si="13"/>
        <v/>
      </c>
      <c r="J42" s="41"/>
      <c r="K42" s="9"/>
      <c r="L42" s="9"/>
      <c r="O42" s="24">
        <f t="shared" si="2"/>
        <v>53</v>
      </c>
      <c r="P42" s="25">
        <v>1.49</v>
      </c>
      <c r="Q42" s="26">
        <v>1.49</v>
      </c>
      <c r="R42" s="54">
        <f t="shared" si="3"/>
        <v>0</v>
      </c>
      <c r="S42" s="39"/>
      <c r="T42" s="35" t="str">
        <f t="shared" si="4"/>
        <v/>
      </c>
      <c r="U42" s="39"/>
      <c r="V42" s="35" t="str">
        <f t="shared" si="5"/>
        <v/>
      </c>
      <c r="W42" s="1"/>
      <c r="X42" s="41"/>
      <c r="Y42" s="30"/>
      <c r="Z42" s="30"/>
      <c r="AC42" s="1" t="str">
        <f t="shared" si="6"/>
        <v/>
      </c>
      <c r="AE42" s="1" t="str">
        <f t="shared" si="7"/>
        <v/>
      </c>
      <c r="AF42" s="79">
        <f t="shared" si="8"/>
        <v>53</v>
      </c>
      <c r="AG42" s="80">
        <v>15.93</v>
      </c>
      <c r="AH42" s="81">
        <v>13.41</v>
      </c>
      <c r="AL42" s="79">
        <f t="shared" si="9"/>
        <v>53</v>
      </c>
      <c r="AM42" s="80">
        <v>14.85</v>
      </c>
      <c r="AN42" s="81">
        <v>12.72</v>
      </c>
      <c r="AR42" s="99">
        <v>53</v>
      </c>
      <c r="AS42" s="100">
        <v>46.79</v>
      </c>
      <c r="AT42" s="101">
        <v>40.270000000000003</v>
      </c>
      <c r="AW42" t="str">
        <f t="shared" si="10"/>
        <v/>
      </c>
      <c r="AY42" t="str">
        <f t="shared" si="11"/>
        <v/>
      </c>
    </row>
    <row r="43" spans="1:51" x14ac:dyDescent="0.3">
      <c r="A43" s="5">
        <v>54</v>
      </c>
      <c r="B43" s="4">
        <v>65.72</v>
      </c>
      <c r="C43" s="4">
        <v>57.389999999999993</v>
      </c>
      <c r="F43" t="str">
        <f t="shared" si="12"/>
        <v/>
      </c>
      <c r="H43" s="1" t="str">
        <f t="shared" si="13"/>
        <v/>
      </c>
      <c r="J43" s="41"/>
      <c r="K43" s="9"/>
      <c r="L43" s="9"/>
      <c r="O43" s="24">
        <f t="shared" si="2"/>
        <v>54</v>
      </c>
      <c r="P43" s="25">
        <v>1.53</v>
      </c>
      <c r="Q43" s="26">
        <v>1.53</v>
      </c>
      <c r="R43" s="54">
        <f t="shared" si="3"/>
        <v>0</v>
      </c>
      <c r="S43" s="39"/>
      <c r="T43" s="35" t="str">
        <f t="shared" si="4"/>
        <v/>
      </c>
      <c r="U43" s="39"/>
      <c r="V43" s="35" t="str">
        <f t="shared" si="5"/>
        <v/>
      </c>
      <c r="W43" s="1"/>
      <c r="X43" s="41"/>
      <c r="Y43" s="30"/>
      <c r="Z43" s="30"/>
      <c r="AC43" s="1" t="str">
        <f t="shared" si="6"/>
        <v/>
      </c>
      <c r="AE43" s="1" t="str">
        <f t="shared" si="7"/>
        <v/>
      </c>
      <c r="AF43" s="79">
        <f t="shared" si="8"/>
        <v>54</v>
      </c>
      <c r="AG43" s="80">
        <v>17.57</v>
      </c>
      <c r="AH43" s="81">
        <v>14.53</v>
      </c>
      <c r="AL43" s="79">
        <f t="shared" si="9"/>
        <v>54</v>
      </c>
      <c r="AM43" s="80">
        <v>16.350000000000001</v>
      </c>
      <c r="AN43" s="81">
        <v>13.75</v>
      </c>
      <c r="AR43" s="99">
        <v>54</v>
      </c>
      <c r="AS43" s="100">
        <v>48.4</v>
      </c>
      <c r="AT43" s="101">
        <v>41.459999999999994</v>
      </c>
      <c r="AW43" t="str">
        <f t="shared" si="10"/>
        <v/>
      </c>
      <c r="AY43" t="str">
        <f t="shared" si="11"/>
        <v/>
      </c>
    </row>
    <row r="44" spans="1:51" x14ac:dyDescent="0.3">
      <c r="A44" s="5">
        <v>55</v>
      </c>
      <c r="B44" s="4">
        <v>67.48</v>
      </c>
      <c r="C44" s="4">
        <v>58.83</v>
      </c>
      <c r="F44" t="str">
        <f t="shared" si="12"/>
        <v/>
      </c>
      <c r="H44" s="1" t="str">
        <f t="shared" si="13"/>
        <v/>
      </c>
      <c r="J44" s="41"/>
      <c r="K44" s="9"/>
      <c r="L44" s="9"/>
      <c r="O44" s="24">
        <f t="shared" si="2"/>
        <v>55</v>
      </c>
      <c r="P44" s="25">
        <v>1.57</v>
      </c>
      <c r="Q44" s="26">
        <v>1.57</v>
      </c>
      <c r="R44" s="54">
        <f t="shared" si="3"/>
        <v>0</v>
      </c>
      <c r="S44" s="39"/>
      <c r="T44" s="35" t="str">
        <f t="shared" si="4"/>
        <v/>
      </c>
      <c r="U44" s="39"/>
      <c r="V44" s="35" t="str">
        <f t="shared" si="5"/>
        <v/>
      </c>
      <c r="W44" s="1"/>
      <c r="X44" s="41"/>
      <c r="Y44" s="30"/>
      <c r="Z44" s="30"/>
      <c r="AC44" s="1" t="str">
        <f t="shared" si="6"/>
        <v/>
      </c>
      <c r="AE44" s="1" t="str">
        <f t="shared" si="7"/>
        <v/>
      </c>
      <c r="AF44" s="79">
        <f t="shared" si="8"/>
        <v>55</v>
      </c>
      <c r="AG44" s="80">
        <v>19.3</v>
      </c>
      <c r="AH44" s="81">
        <v>15.7</v>
      </c>
      <c r="AL44" s="79">
        <f t="shared" si="9"/>
        <v>55</v>
      </c>
      <c r="AM44" s="80">
        <v>17.95</v>
      </c>
      <c r="AN44" s="81">
        <v>14.85</v>
      </c>
      <c r="AR44" s="99">
        <v>55</v>
      </c>
      <c r="AS44" s="100">
        <v>50.69</v>
      </c>
      <c r="AT44" s="101">
        <v>43.32</v>
      </c>
      <c r="AW44" t="str">
        <f t="shared" si="10"/>
        <v/>
      </c>
      <c r="AY44" t="str">
        <f t="shared" si="11"/>
        <v/>
      </c>
    </row>
    <row r="45" spans="1:51" x14ac:dyDescent="0.3">
      <c r="A45" s="5">
        <v>56</v>
      </c>
      <c r="B45" s="4">
        <v>69.290000000000006</v>
      </c>
      <c r="C45" s="4">
        <v>60.31</v>
      </c>
      <c r="F45" t="str">
        <f t="shared" si="12"/>
        <v/>
      </c>
      <c r="H45" s="1" t="str">
        <f t="shared" si="13"/>
        <v/>
      </c>
      <c r="J45" s="41"/>
      <c r="K45" s="9"/>
      <c r="L45" s="9"/>
      <c r="O45" s="24">
        <f t="shared" si="2"/>
        <v>56</v>
      </c>
      <c r="P45" s="25">
        <v>1.67</v>
      </c>
      <c r="Q45" s="26">
        <v>1.67</v>
      </c>
      <c r="R45" s="54">
        <f t="shared" si="3"/>
        <v>0</v>
      </c>
      <c r="S45" s="39"/>
      <c r="T45" s="35" t="str">
        <f t="shared" si="4"/>
        <v/>
      </c>
      <c r="U45" s="39"/>
      <c r="V45" s="35" t="str">
        <f t="shared" si="5"/>
        <v/>
      </c>
      <c r="W45" s="1"/>
      <c r="X45" s="41"/>
      <c r="Y45" s="30"/>
      <c r="Z45" s="30"/>
      <c r="AC45" s="1" t="str">
        <f t="shared" si="6"/>
        <v/>
      </c>
      <c r="AE45" s="1" t="str">
        <f t="shared" si="7"/>
        <v/>
      </c>
      <c r="AF45" s="79">
        <f t="shared" si="8"/>
        <v>56</v>
      </c>
      <c r="AG45" s="80">
        <v>21.14</v>
      </c>
      <c r="AH45" s="81">
        <v>16.91</v>
      </c>
      <c r="AL45" s="79">
        <f t="shared" si="9"/>
        <v>56</v>
      </c>
      <c r="AM45" s="80">
        <v>19.64</v>
      </c>
      <c r="AN45" s="81">
        <v>15.99</v>
      </c>
      <c r="AR45" s="99">
        <v>56</v>
      </c>
      <c r="AS45" s="100">
        <v>51.88</v>
      </c>
      <c r="AT45" s="101">
        <v>44.53</v>
      </c>
      <c r="AW45" t="str">
        <f t="shared" si="10"/>
        <v/>
      </c>
      <c r="AY45" t="str">
        <f t="shared" si="11"/>
        <v/>
      </c>
    </row>
    <row r="46" spans="1:51" x14ac:dyDescent="0.3">
      <c r="A46" s="5">
        <v>57</v>
      </c>
      <c r="B46" s="4">
        <v>71.16</v>
      </c>
      <c r="C46" s="4">
        <v>61.830000000000005</v>
      </c>
      <c r="F46" t="str">
        <f t="shared" si="12"/>
        <v/>
      </c>
      <c r="H46" s="1" t="str">
        <f t="shared" si="13"/>
        <v/>
      </c>
      <c r="J46" s="41"/>
      <c r="K46" s="9"/>
      <c r="L46" s="9"/>
      <c r="O46" s="24">
        <f t="shared" si="2"/>
        <v>57</v>
      </c>
      <c r="P46" s="25">
        <v>1.78</v>
      </c>
      <c r="Q46" s="26">
        <v>1.78</v>
      </c>
      <c r="R46" s="54">
        <f t="shared" si="3"/>
        <v>0</v>
      </c>
      <c r="S46" s="39"/>
      <c r="T46" s="35" t="str">
        <f t="shared" si="4"/>
        <v/>
      </c>
      <c r="U46" s="39"/>
      <c r="V46" s="35" t="str">
        <f t="shared" si="5"/>
        <v/>
      </c>
      <c r="W46" s="1"/>
      <c r="X46" s="41"/>
      <c r="Y46" s="30"/>
      <c r="Z46" s="30"/>
      <c r="AC46" s="1" t="str">
        <f t="shared" si="6"/>
        <v/>
      </c>
      <c r="AE46" s="1" t="str">
        <f t="shared" si="7"/>
        <v/>
      </c>
      <c r="AF46" s="79">
        <f t="shared" si="8"/>
        <v>57</v>
      </c>
      <c r="AG46" s="80">
        <v>23.07</v>
      </c>
      <c r="AH46" s="81">
        <v>18.180000000000003</v>
      </c>
      <c r="AL46" s="79">
        <f t="shared" si="9"/>
        <v>57</v>
      </c>
      <c r="AM46" s="80">
        <v>21.44</v>
      </c>
      <c r="AN46" s="81">
        <v>17.190000000000001</v>
      </c>
      <c r="AR46" s="99">
        <v>57</v>
      </c>
      <c r="AS46" s="100">
        <v>53.769999999999996</v>
      </c>
      <c r="AT46" s="101">
        <v>45.36</v>
      </c>
      <c r="AW46" t="str">
        <f t="shared" si="10"/>
        <v/>
      </c>
      <c r="AY46" t="str">
        <f t="shared" si="11"/>
        <v/>
      </c>
    </row>
    <row r="47" spans="1:51" x14ac:dyDescent="0.3">
      <c r="A47" s="5">
        <v>58</v>
      </c>
      <c r="B47" s="4">
        <v>73.099999999999994</v>
      </c>
      <c r="C47" s="4">
        <v>63.42</v>
      </c>
      <c r="F47" t="str">
        <f t="shared" si="12"/>
        <v/>
      </c>
      <c r="H47" s="1" t="str">
        <f t="shared" si="13"/>
        <v/>
      </c>
      <c r="J47" s="41"/>
      <c r="K47" s="9"/>
      <c r="L47" s="9"/>
      <c r="O47" s="24">
        <f t="shared" si="2"/>
        <v>58</v>
      </c>
      <c r="P47" s="25">
        <v>1.89</v>
      </c>
      <c r="Q47" s="26">
        <v>1.89</v>
      </c>
      <c r="R47" s="54">
        <f t="shared" si="3"/>
        <v>0</v>
      </c>
      <c r="S47" s="39"/>
      <c r="T47" s="35" t="str">
        <f t="shared" si="4"/>
        <v/>
      </c>
      <c r="U47" s="39"/>
      <c r="V47" s="35" t="str">
        <f t="shared" si="5"/>
        <v/>
      </c>
      <c r="W47" s="1"/>
      <c r="X47" s="41"/>
      <c r="Y47" s="30"/>
      <c r="Z47" s="30"/>
      <c r="AC47" s="1" t="str">
        <f t="shared" si="6"/>
        <v/>
      </c>
      <c r="AE47" s="1" t="str">
        <f t="shared" si="7"/>
        <v/>
      </c>
      <c r="AF47" s="79">
        <f t="shared" si="8"/>
        <v>58</v>
      </c>
      <c r="AG47" s="80">
        <v>25.1</v>
      </c>
      <c r="AH47" s="81">
        <v>19.5</v>
      </c>
      <c r="AL47" s="79">
        <f t="shared" si="9"/>
        <v>58</v>
      </c>
      <c r="AM47" s="80">
        <v>23.34</v>
      </c>
      <c r="AN47" s="81">
        <v>18.450000000000003</v>
      </c>
      <c r="AR47" s="99">
        <v>58</v>
      </c>
      <c r="AS47" s="100">
        <v>55.800000000000004</v>
      </c>
      <c r="AT47" s="101">
        <v>46.82</v>
      </c>
      <c r="AW47" t="str">
        <f t="shared" si="10"/>
        <v/>
      </c>
      <c r="AY47" t="str">
        <f t="shared" si="11"/>
        <v/>
      </c>
    </row>
    <row r="48" spans="1:51" x14ac:dyDescent="0.3">
      <c r="A48" s="5">
        <v>59</v>
      </c>
      <c r="B48" s="4">
        <v>75.11</v>
      </c>
      <c r="C48" s="4">
        <v>65.070000000000007</v>
      </c>
      <c r="F48" t="str">
        <f t="shared" si="12"/>
        <v/>
      </c>
      <c r="H48" s="1" t="str">
        <f t="shared" si="13"/>
        <v/>
      </c>
      <c r="J48" s="41"/>
      <c r="K48" s="9"/>
      <c r="L48" s="9"/>
      <c r="O48" s="24">
        <f t="shared" si="2"/>
        <v>59</v>
      </c>
      <c r="P48" s="25">
        <v>2</v>
      </c>
      <c r="Q48" s="26">
        <v>2</v>
      </c>
      <c r="R48" s="54">
        <f t="shared" si="3"/>
        <v>0</v>
      </c>
      <c r="S48" s="39"/>
      <c r="T48" s="35" t="str">
        <f t="shared" si="4"/>
        <v/>
      </c>
      <c r="U48" s="39"/>
      <c r="V48" s="35" t="str">
        <f t="shared" si="5"/>
        <v/>
      </c>
      <c r="W48" s="1"/>
      <c r="X48" s="41"/>
      <c r="Y48" s="30"/>
      <c r="Z48" s="30"/>
      <c r="AC48" s="1" t="str">
        <f t="shared" si="6"/>
        <v/>
      </c>
      <c r="AE48" s="1" t="str">
        <f t="shared" si="7"/>
        <v/>
      </c>
      <c r="AF48" s="79">
        <f t="shared" si="8"/>
        <v>59</v>
      </c>
      <c r="AG48" s="80">
        <v>27.23</v>
      </c>
      <c r="AH48" s="81">
        <v>20.87</v>
      </c>
      <c r="AL48" s="79">
        <f t="shared" si="9"/>
        <v>59</v>
      </c>
      <c r="AM48" s="80">
        <v>25.34</v>
      </c>
      <c r="AN48" s="81">
        <v>19.759999999999998</v>
      </c>
      <c r="AR48" s="99">
        <v>59</v>
      </c>
      <c r="AS48" s="100">
        <v>57.96</v>
      </c>
      <c r="AT48" s="101">
        <v>48.39</v>
      </c>
      <c r="AW48" t="str">
        <f t="shared" si="10"/>
        <v/>
      </c>
      <c r="AY48" t="str">
        <f t="shared" si="11"/>
        <v/>
      </c>
    </row>
    <row r="49" spans="1:51" x14ac:dyDescent="0.3">
      <c r="A49" s="5">
        <v>60</v>
      </c>
      <c r="B49" s="4">
        <v>77.22</v>
      </c>
      <c r="C49" s="4">
        <v>66.809999999999988</v>
      </c>
      <c r="F49" t="str">
        <f t="shared" si="12"/>
        <v/>
      </c>
      <c r="H49" s="1" t="str">
        <f t="shared" si="13"/>
        <v/>
      </c>
      <c r="J49" s="41"/>
      <c r="K49" s="9"/>
      <c r="L49" s="9"/>
      <c r="O49" s="24">
        <f t="shared" si="2"/>
        <v>60</v>
      </c>
      <c r="P49" s="25">
        <v>2.12</v>
      </c>
      <c r="Q49" s="26">
        <v>2.12</v>
      </c>
      <c r="R49" s="54">
        <f t="shared" si="3"/>
        <v>0</v>
      </c>
      <c r="S49" s="39"/>
      <c r="T49" s="35" t="str">
        <f t="shared" si="4"/>
        <v/>
      </c>
      <c r="U49" s="39"/>
      <c r="V49" s="35" t="str">
        <f t="shared" si="5"/>
        <v/>
      </c>
      <c r="W49" s="1"/>
      <c r="X49" s="41"/>
      <c r="Y49" s="30"/>
      <c r="Z49" s="30"/>
      <c r="AC49" s="1" t="str">
        <f t="shared" si="6"/>
        <v/>
      </c>
      <c r="AE49" s="1" t="str">
        <f t="shared" si="7"/>
        <v/>
      </c>
      <c r="AF49" s="79">
        <f t="shared" si="8"/>
        <v>60</v>
      </c>
      <c r="AG49" s="80">
        <v>29.47</v>
      </c>
      <c r="AH49" s="81">
        <v>22.3</v>
      </c>
      <c r="AL49" s="79">
        <f t="shared" si="9"/>
        <v>60</v>
      </c>
      <c r="AM49" s="80">
        <v>27.439999999999998</v>
      </c>
      <c r="AN49" s="81">
        <v>21.13</v>
      </c>
      <c r="AR49" s="99">
        <v>60</v>
      </c>
      <c r="AS49" s="100">
        <v>61</v>
      </c>
      <c r="AT49" s="101">
        <v>50.93</v>
      </c>
      <c r="AW49" t="str">
        <f t="shared" si="10"/>
        <v/>
      </c>
      <c r="AY49" t="str">
        <f t="shared" si="11"/>
        <v/>
      </c>
    </row>
    <row r="50" spans="1:51" x14ac:dyDescent="0.3">
      <c r="A50" s="5">
        <v>61</v>
      </c>
      <c r="B50" s="4">
        <v>79.41</v>
      </c>
      <c r="C50" s="4">
        <v>68.62</v>
      </c>
      <c r="F50" t="str">
        <f t="shared" si="12"/>
        <v/>
      </c>
      <c r="H50" s="1" t="str">
        <f t="shared" si="13"/>
        <v/>
      </c>
      <c r="J50" s="41"/>
      <c r="K50" s="9"/>
      <c r="L50" s="9"/>
      <c r="O50" s="24">
        <f t="shared" si="2"/>
        <v>61</v>
      </c>
      <c r="P50" s="25">
        <v>2.16</v>
      </c>
      <c r="Q50" s="26">
        <v>2.16</v>
      </c>
      <c r="R50" s="54">
        <f t="shared" si="3"/>
        <v>0</v>
      </c>
      <c r="S50" s="39"/>
      <c r="T50" s="35" t="str">
        <f t="shared" si="4"/>
        <v/>
      </c>
      <c r="U50" s="39"/>
      <c r="V50" s="35" t="str">
        <f t="shared" si="5"/>
        <v/>
      </c>
      <c r="W50" s="1"/>
      <c r="X50" s="41"/>
      <c r="Y50" s="30"/>
      <c r="Z50" s="30"/>
      <c r="AC50" s="1" t="str">
        <f t="shared" si="6"/>
        <v/>
      </c>
      <c r="AE50" s="1" t="str">
        <f t="shared" si="7"/>
        <v/>
      </c>
      <c r="AF50" s="79">
        <f t="shared" si="8"/>
        <v>61</v>
      </c>
      <c r="AG50" s="80">
        <v>31.82</v>
      </c>
      <c r="AH50" s="81">
        <v>23.8</v>
      </c>
      <c r="AL50" s="79">
        <f t="shared" si="9"/>
        <v>61</v>
      </c>
      <c r="AM50" s="80">
        <v>29.64</v>
      </c>
      <c r="AN50" s="81">
        <v>22.57</v>
      </c>
      <c r="AR50" s="99">
        <v>61</v>
      </c>
      <c r="AS50" s="100">
        <v>63.14</v>
      </c>
      <c r="AT50" s="101">
        <v>52.19</v>
      </c>
      <c r="AW50" t="str">
        <f t="shared" si="10"/>
        <v/>
      </c>
      <c r="AY50" t="str">
        <f t="shared" si="11"/>
        <v/>
      </c>
    </row>
    <row r="51" spans="1:51" x14ac:dyDescent="0.3">
      <c r="A51" s="5">
        <v>62</v>
      </c>
      <c r="B51" s="4">
        <v>81.710000000000008</v>
      </c>
      <c r="C51" s="4">
        <v>70.5</v>
      </c>
      <c r="F51" t="str">
        <f t="shared" si="12"/>
        <v/>
      </c>
      <c r="H51" s="1" t="str">
        <f t="shared" si="13"/>
        <v/>
      </c>
      <c r="J51" s="41"/>
      <c r="K51" s="9"/>
      <c r="L51" s="9"/>
      <c r="O51" s="24">
        <f t="shared" si="2"/>
        <v>62</v>
      </c>
      <c r="P51" s="25">
        <v>2.2400000000000002</v>
      </c>
      <c r="Q51" s="26">
        <v>2.2400000000000002</v>
      </c>
      <c r="R51" s="54">
        <f t="shared" si="3"/>
        <v>0</v>
      </c>
      <c r="S51" s="39"/>
      <c r="T51" s="35" t="str">
        <f t="shared" si="4"/>
        <v/>
      </c>
      <c r="U51" s="39"/>
      <c r="V51" s="35" t="str">
        <f t="shared" si="5"/>
        <v/>
      </c>
      <c r="W51" s="1"/>
      <c r="X51" s="41"/>
      <c r="Y51" s="30"/>
      <c r="Z51" s="30"/>
      <c r="AC51" s="1" t="str">
        <f t="shared" si="6"/>
        <v/>
      </c>
      <c r="AE51" s="1" t="str">
        <f t="shared" si="7"/>
        <v/>
      </c>
      <c r="AF51" s="79">
        <f t="shared" si="8"/>
        <v>62</v>
      </c>
      <c r="AG51" s="80">
        <v>34.270000000000003</v>
      </c>
      <c r="AH51" s="81">
        <v>25.37</v>
      </c>
      <c r="AL51" s="79">
        <f t="shared" si="9"/>
        <v>62</v>
      </c>
      <c r="AM51" s="80">
        <v>31.940000000000005</v>
      </c>
      <c r="AN51" s="81">
        <v>24.07</v>
      </c>
      <c r="AR51" s="99">
        <v>62</v>
      </c>
      <c r="AS51" s="100">
        <v>64.680000000000007</v>
      </c>
      <c r="AT51" s="101">
        <v>53.96</v>
      </c>
      <c r="AW51" t="str">
        <f t="shared" si="10"/>
        <v/>
      </c>
      <c r="AY51" t="str">
        <f t="shared" si="11"/>
        <v/>
      </c>
    </row>
    <row r="52" spans="1:51" x14ac:dyDescent="0.3">
      <c r="A52" s="5">
        <v>63</v>
      </c>
      <c r="B52" s="4">
        <v>84.1</v>
      </c>
      <c r="C52" s="4">
        <v>72.45</v>
      </c>
      <c r="F52" t="str">
        <f t="shared" si="12"/>
        <v/>
      </c>
      <c r="H52" s="1" t="str">
        <f t="shared" si="13"/>
        <v/>
      </c>
      <c r="J52" s="41"/>
      <c r="K52" s="9"/>
      <c r="L52" s="9"/>
      <c r="O52" s="24">
        <f t="shared" si="2"/>
        <v>63</v>
      </c>
      <c r="P52" s="25">
        <v>2.37</v>
      </c>
      <c r="Q52" s="26">
        <v>2.38</v>
      </c>
      <c r="R52" s="54">
        <f t="shared" si="3"/>
        <v>-9.9999999999997868E-3</v>
      </c>
      <c r="S52" s="39"/>
      <c r="T52" s="35" t="str">
        <f t="shared" si="4"/>
        <v/>
      </c>
      <c r="U52" s="39"/>
      <c r="V52" s="35" t="str">
        <f t="shared" si="5"/>
        <v/>
      </c>
      <c r="W52" s="1"/>
      <c r="X52" s="41"/>
      <c r="Y52" s="30"/>
      <c r="Z52" s="30"/>
      <c r="AC52" s="1" t="str">
        <f t="shared" si="6"/>
        <v/>
      </c>
      <c r="AE52" s="1" t="str">
        <f t="shared" si="7"/>
        <v/>
      </c>
      <c r="AF52" s="79">
        <f t="shared" si="8"/>
        <v>63</v>
      </c>
      <c r="AG52" s="80">
        <v>36.82</v>
      </c>
      <c r="AH52" s="81">
        <v>27</v>
      </c>
      <c r="AL52" s="79">
        <f t="shared" si="9"/>
        <v>63</v>
      </c>
      <c r="AM52" s="80">
        <v>34.35</v>
      </c>
      <c r="AN52" s="81">
        <v>25.63</v>
      </c>
      <c r="AR52" s="99">
        <v>63</v>
      </c>
      <c r="AS52" s="100">
        <v>67.91</v>
      </c>
      <c r="AT52" s="101">
        <v>55.919999999999995</v>
      </c>
      <c r="AW52" t="str">
        <f t="shared" si="10"/>
        <v/>
      </c>
      <c r="AY52" t="str">
        <f t="shared" si="11"/>
        <v/>
      </c>
    </row>
    <row r="53" spans="1:51" x14ac:dyDescent="0.3">
      <c r="A53" s="5">
        <v>64</v>
      </c>
      <c r="B53" s="4">
        <v>86.6</v>
      </c>
      <c r="C53" s="4">
        <v>74.47</v>
      </c>
      <c r="F53" t="str">
        <f t="shared" si="12"/>
        <v/>
      </c>
      <c r="H53" s="1" t="str">
        <f t="shared" si="13"/>
        <v/>
      </c>
      <c r="J53" s="41"/>
      <c r="K53" s="9"/>
      <c r="L53" s="9"/>
      <c r="O53" s="24">
        <f t="shared" si="2"/>
        <v>64</v>
      </c>
      <c r="P53" s="25">
        <v>2.57</v>
      </c>
      <c r="Q53" s="26">
        <v>2.57</v>
      </c>
      <c r="R53" s="54">
        <f t="shared" si="3"/>
        <v>0</v>
      </c>
      <c r="S53" s="39"/>
      <c r="T53" s="35" t="str">
        <f t="shared" si="4"/>
        <v/>
      </c>
      <c r="U53" s="39"/>
      <c r="V53" s="35" t="str">
        <f t="shared" si="5"/>
        <v/>
      </c>
      <c r="W53" s="1"/>
      <c r="X53" s="41"/>
      <c r="Y53" s="30"/>
      <c r="Z53" s="30"/>
      <c r="AC53" s="1" t="str">
        <f t="shared" si="6"/>
        <v/>
      </c>
      <c r="AE53" s="1" t="str">
        <f t="shared" si="7"/>
        <v/>
      </c>
      <c r="AF53" s="79">
        <f t="shared" si="8"/>
        <v>64</v>
      </c>
      <c r="AG53" s="80">
        <v>39.480000000000004</v>
      </c>
      <c r="AH53" s="81">
        <v>28.69</v>
      </c>
      <c r="AL53" s="79">
        <f t="shared" si="9"/>
        <v>64</v>
      </c>
      <c r="AM53" s="80">
        <v>36.86</v>
      </c>
      <c r="AN53" s="81">
        <v>27.259999999999998</v>
      </c>
      <c r="AR53" s="99">
        <v>64</v>
      </c>
      <c r="AS53" s="100">
        <v>70.97</v>
      </c>
      <c r="AT53" s="101">
        <v>59.610000000000007</v>
      </c>
      <c r="AW53" t="str">
        <f t="shared" si="10"/>
        <v/>
      </c>
      <c r="AY53" t="str">
        <f t="shared" si="11"/>
        <v/>
      </c>
    </row>
    <row r="54" spans="1:51" ht="15" thickBot="1" x14ac:dyDescent="0.35">
      <c r="A54" s="3">
        <v>65</v>
      </c>
      <c r="B54" s="2">
        <v>89.22</v>
      </c>
      <c r="C54" s="2">
        <v>76.56</v>
      </c>
      <c r="F54" t="str">
        <f t="shared" si="12"/>
        <v/>
      </c>
      <c r="H54" s="1" t="str">
        <f t="shared" si="13"/>
        <v/>
      </c>
      <c r="J54" s="41"/>
      <c r="K54" s="9"/>
      <c r="L54" s="9"/>
      <c r="O54" s="27">
        <f t="shared" si="2"/>
        <v>65</v>
      </c>
      <c r="P54" s="28">
        <v>2.82</v>
      </c>
      <c r="Q54" s="29">
        <v>2.83</v>
      </c>
      <c r="R54" s="54">
        <f t="shared" si="3"/>
        <v>-1.0000000000000231E-2</v>
      </c>
      <c r="S54" s="39"/>
      <c r="T54" s="35" t="str">
        <f t="shared" si="4"/>
        <v/>
      </c>
      <c r="U54" s="39"/>
      <c r="V54" s="35" t="str">
        <f t="shared" si="5"/>
        <v/>
      </c>
      <c r="W54" s="1"/>
      <c r="X54" s="41"/>
      <c r="Y54" s="30"/>
      <c r="Z54" s="30"/>
      <c r="AC54" s="1" t="str">
        <f t="shared" si="6"/>
        <v/>
      </c>
      <c r="AE54" s="1" t="str">
        <f t="shared" si="7"/>
        <v/>
      </c>
      <c r="AF54" s="82">
        <f t="shared" si="8"/>
        <v>65</v>
      </c>
      <c r="AG54" s="83">
        <v>42.25</v>
      </c>
      <c r="AH54" s="84">
        <v>30.450000000000003</v>
      </c>
      <c r="AL54" s="82">
        <f t="shared" si="9"/>
        <v>65</v>
      </c>
      <c r="AM54" s="83">
        <v>39.47</v>
      </c>
      <c r="AN54" s="84">
        <v>28.95</v>
      </c>
      <c r="AR54" s="99">
        <v>65</v>
      </c>
      <c r="AS54" s="100">
        <v>74.27</v>
      </c>
      <c r="AT54" s="101">
        <v>62.089999999999996</v>
      </c>
      <c r="AW54" t="str">
        <f t="shared" si="10"/>
        <v/>
      </c>
      <c r="AY54" t="str">
        <f t="shared" si="11"/>
        <v/>
      </c>
    </row>
    <row r="55" spans="1:51" x14ac:dyDescent="0.3">
      <c r="AR55" s="102">
        <v>66</v>
      </c>
      <c r="AS55" s="100"/>
      <c r="AT55" s="103"/>
      <c r="AW55" t="str">
        <f t="shared" si="10"/>
        <v/>
      </c>
      <c r="AY55" t="str">
        <f t="shared" si="11"/>
        <v/>
      </c>
    </row>
    <row r="56" spans="1:51" x14ac:dyDescent="0.3">
      <c r="AR56" s="104">
        <v>67</v>
      </c>
      <c r="AS56" s="100"/>
      <c r="AT56" s="103"/>
      <c r="AW56" t="str">
        <f t="shared" si="10"/>
        <v/>
      </c>
      <c r="AY56" t="str">
        <f t="shared" si="11"/>
        <v/>
      </c>
    </row>
    <row r="57" spans="1:51" x14ac:dyDescent="0.3">
      <c r="AR57" s="104">
        <v>68</v>
      </c>
      <c r="AS57" s="100"/>
      <c r="AT57" s="103"/>
      <c r="AW57" t="str">
        <f t="shared" si="10"/>
        <v/>
      </c>
      <c r="AY57" t="str">
        <f t="shared" si="11"/>
        <v/>
      </c>
    </row>
    <row r="58" spans="1:51" x14ac:dyDescent="0.3">
      <c r="AR58" s="104">
        <v>69</v>
      </c>
      <c r="AS58" s="100"/>
      <c r="AT58" s="103"/>
      <c r="AW58" t="str">
        <f t="shared" si="10"/>
        <v/>
      </c>
      <c r="AY58" t="str">
        <f t="shared" si="11"/>
        <v/>
      </c>
    </row>
    <row r="59" spans="1:51" x14ac:dyDescent="0.3">
      <c r="AR59" s="104">
        <v>70</v>
      </c>
      <c r="AS59" s="100"/>
      <c r="AT59" s="103"/>
      <c r="AW59" t="str">
        <f t="shared" si="10"/>
        <v/>
      </c>
      <c r="AY59" t="str">
        <f t="shared" si="11"/>
        <v/>
      </c>
    </row>
    <row r="60" spans="1:51" x14ac:dyDescent="0.3">
      <c r="AR60" s="104">
        <v>71</v>
      </c>
      <c r="AS60" s="100"/>
      <c r="AT60" s="103"/>
      <c r="AW60" t="str">
        <f t="shared" si="10"/>
        <v/>
      </c>
      <c r="AY60" t="str">
        <f t="shared" si="11"/>
        <v/>
      </c>
    </row>
    <row r="61" spans="1:51" x14ac:dyDescent="0.3">
      <c r="AR61" s="104">
        <v>72</v>
      </c>
      <c r="AS61" s="100"/>
      <c r="AT61" s="103"/>
      <c r="AW61" t="str">
        <f t="shared" si="10"/>
        <v/>
      </c>
      <c r="AY61" t="str">
        <f t="shared" si="11"/>
        <v/>
      </c>
    </row>
    <row r="62" spans="1:51" x14ac:dyDescent="0.3">
      <c r="AR62" s="104">
        <v>73</v>
      </c>
      <c r="AS62" s="100"/>
      <c r="AT62" s="103"/>
      <c r="AW62" t="str">
        <f t="shared" si="10"/>
        <v/>
      </c>
      <c r="AY62" t="str">
        <f t="shared" si="11"/>
        <v/>
      </c>
    </row>
    <row r="63" spans="1:51" x14ac:dyDescent="0.3">
      <c r="AR63" s="104">
        <v>74</v>
      </c>
      <c r="AS63" s="100"/>
      <c r="AT63" s="103"/>
      <c r="AW63" t="str">
        <f t="shared" si="10"/>
        <v/>
      </c>
      <c r="AY63" t="str">
        <f t="shared" si="11"/>
        <v/>
      </c>
    </row>
    <row r="64" spans="1:51" x14ac:dyDescent="0.3">
      <c r="AR64" s="105">
        <v>75</v>
      </c>
      <c r="AS64" s="106"/>
      <c r="AT64" s="107"/>
      <c r="AW64" t="str">
        <f t="shared" si="10"/>
        <v/>
      </c>
      <c r="AY64" t="str">
        <f t="shared" si="11"/>
        <v/>
      </c>
    </row>
  </sheetData>
  <mergeCells count="13">
    <mergeCell ref="AR1:AR2"/>
    <mergeCell ref="AS1:AT1"/>
    <mergeCell ref="A1:A2"/>
    <mergeCell ref="J1:J2"/>
    <mergeCell ref="K1:L1"/>
    <mergeCell ref="AM1:AN1"/>
    <mergeCell ref="AG1:AH1"/>
    <mergeCell ref="AF1:AF2"/>
    <mergeCell ref="AL1:AL2"/>
    <mergeCell ref="O1:O2"/>
    <mergeCell ref="P1:Q1"/>
    <mergeCell ref="X1:X2"/>
    <mergeCell ref="Y1:Z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W7 AW9 AW3:AW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pageSetUpPr autoPageBreaks="0"/>
  </sheetPr>
  <dimension ref="A1:DE88"/>
  <sheetViews>
    <sheetView topLeftCell="D1" workbookViewId="0">
      <selection activeCell="E1" sqref="E1"/>
    </sheetView>
  </sheetViews>
  <sheetFormatPr defaultColWidth="8.88671875" defaultRowHeight="14.4" x14ac:dyDescent="0.3"/>
  <cols>
    <col min="1" max="1" width="19.44140625" style="64" bestFit="1" customWidth="1"/>
    <col min="2" max="3" width="8.88671875" style="64"/>
    <col min="4" max="56" width="9.33203125" style="64" bestFit="1" customWidth="1"/>
    <col min="57" max="57" width="8.88671875" style="64"/>
    <col min="58" max="109" width="9.33203125" style="64" bestFit="1" customWidth="1"/>
    <col min="110" max="16384" width="8.88671875" style="64"/>
  </cols>
  <sheetData>
    <row r="1" spans="1:109" ht="21" x14ac:dyDescent="0.4">
      <c r="A1" s="60"/>
      <c r="B1" s="60"/>
      <c r="C1" s="60"/>
      <c r="D1" s="61">
        <v>1</v>
      </c>
      <c r="E1" s="62">
        <v>14</v>
      </c>
      <c r="F1" s="62">
        <v>15</v>
      </c>
      <c r="G1" s="62">
        <v>16</v>
      </c>
      <c r="H1" s="62">
        <v>17</v>
      </c>
      <c r="I1" s="62">
        <v>18</v>
      </c>
      <c r="J1" s="62">
        <v>19</v>
      </c>
      <c r="K1" s="62">
        <v>20</v>
      </c>
      <c r="L1" s="62">
        <v>21</v>
      </c>
      <c r="M1" s="62">
        <v>22</v>
      </c>
      <c r="N1" s="62">
        <v>23</v>
      </c>
      <c r="O1" s="62">
        <v>24</v>
      </c>
      <c r="P1" s="62">
        <v>25</v>
      </c>
      <c r="Q1" s="62">
        <v>26</v>
      </c>
      <c r="R1" s="62">
        <v>27</v>
      </c>
      <c r="S1" s="62">
        <v>28</v>
      </c>
      <c r="T1" s="62">
        <v>29</v>
      </c>
      <c r="U1" s="62">
        <v>30</v>
      </c>
      <c r="V1" s="62">
        <v>31</v>
      </c>
      <c r="W1" s="62">
        <v>32</v>
      </c>
      <c r="X1" s="62">
        <v>33</v>
      </c>
      <c r="Y1" s="62">
        <v>34</v>
      </c>
      <c r="Z1" s="62">
        <v>35</v>
      </c>
      <c r="AA1" s="62">
        <v>36</v>
      </c>
      <c r="AB1" s="62">
        <v>37</v>
      </c>
      <c r="AC1" s="62">
        <v>38</v>
      </c>
      <c r="AD1" s="62">
        <v>39</v>
      </c>
      <c r="AE1" s="62">
        <v>40</v>
      </c>
      <c r="AF1" s="62">
        <v>41</v>
      </c>
      <c r="AG1" s="62">
        <v>42</v>
      </c>
      <c r="AH1" s="62">
        <v>43</v>
      </c>
      <c r="AI1" s="62">
        <v>44</v>
      </c>
      <c r="AJ1" s="62">
        <v>45</v>
      </c>
      <c r="AK1" s="62">
        <v>46</v>
      </c>
      <c r="AL1" s="62">
        <v>47</v>
      </c>
      <c r="AM1" s="62">
        <v>48</v>
      </c>
      <c r="AN1" s="62">
        <v>49</v>
      </c>
      <c r="AO1" s="62">
        <v>50</v>
      </c>
      <c r="AP1" s="62">
        <v>51</v>
      </c>
      <c r="AQ1" s="62">
        <v>52</v>
      </c>
      <c r="AR1" s="62">
        <v>53</v>
      </c>
      <c r="AS1" s="62">
        <v>54</v>
      </c>
      <c r="AT1" s="62">
        <v>55</v>
      </c>
      <c r="AU1" s="62">
        <v>56</v>
      </c>
      <c r="AV1" s="62">
        <v>57</v>
      </c>
      <c r="AW1" s="62">
        <v>58</v>
      </c>
      <c r="AX1" s="62">
        <v>59</v>
      </c>
      <c r="AY1" s="62">
        <v>60</v>
      </c>
      <c r="AZ1" s="62">
        <v>61</v>
      </c>
      <c r="BA1" s="62">
        <v>62</v>
      </c>
      <c r="BB1" s="62">
        <v>63</v>
      </c>
      <c r="BC1" s="62">
        <v>64</v>
      </c>
      <c r="BD1" s="62">
        <v>65</v>
      </c>
      <c r="BE1" s="62"/>
      <c r="BF1" s="63">
        <v>14</v>
      </c>
      <c r="BG1" s="63">
        <v>15</v>
      </c>
      <c r="BH1" s="63">
        <v>16</v>
      </c>
      <c r="BI1" s="63">
        <v>17</v>
      </c>
      <c r="BJ1" s="63">
        <v>18</v>
      </c>
      <c r="BK1" s="63">
        <v>19</v>
      </c>
      <c r="BL1" s="63">
        <v>20</v>
      </c>
      <c r="BM1" s="63">
        <v>21</v>
      </c>
      <c r="BN1" s="63">
        <v>22</v>
      </c>
      <c r="BO1" s="63">
        <v>23</v>
      </c>
      <c r="BP1" s="63">
        <v>24</v>
      </c>
      <c r="BQ1" s="63">
        <v>25</v>
      </c>
      <c r="BR1" s="63">
        <v>26</v>
      </c>
      <c r="BS1" s="63">
        <v>27</v>
      </c>
      <c r="BT1" s="63">
        <v>28</v>
      </c>
      <c r="BU1" s="63">
        <v>29</v>
      </c>
      <c r="BV1" s="63">
        <v>30</v>
      </c>
      <c r="BW1" s="63">
        <v>31</v>
      </c>
      <c r="BX1" s="63">
        <v>32</v>
      </c>
      <c r="BY1" s="63">
        <v>33</v>
      </c>
      <c r="BZ1" s="63">
        <v>34</v>
      </c>
      <c r="CA1" s="63">
        <v>35</v>
      </c>
      <c r="CB1" s="63">
        <v>36</v>
      </c>
      <c r="CC1" s="63">
        <v>37</v>
      </c>
      <c r="CD1" s="63">
        <v>38</v>
      </c>
      <c r="CE1" s="63">
        <v>39</v>
      </c>
      <c r="CF1" s="63">
        <v>40</v>
      </c>
      <c r="CG1" s="63">
        <v>41</v>
      </c>
      <c r="CH1" s="63">
        <v>42</v>
      </c>
      <c r="CI1" s="63">
        <v>43</v>
      </c>
      <c r="CJ1" s="63">
        <v>44</v>
      </c>
      <c r="CK1" s="63">
        <v>45</v>
      </c>
      <c r="CL1" s="63">
        <v>46</v>
      </c>
      <c r="CM1" s="63">
        <v>47</v>
      </c>
      <c r="CN1" s="63">
        <v>48</v>
      </c>
      <c r="CO1" s="63">
        <v>49</v>
      </c>
      <c r="CP1" s="63">
        <v>50</v>
      </c>
      <c r="CQ1" s="63">
        <v>51</v>
      </c>
      <c r="CR1" s="63">
        <v>52</v>
      </c>
      <c r="CS1" s="63">
        <v>53</v>
      </c>
      <c r="CT1" s="63">
        <v>54</v>
      </c>
      <c r="CU1" s="63">
        <v>55</v>
      </c>
      <c r="CV1" s="63">
        <v>56</v>
      </c>
      <c r="CW1" s="63">
        <v>57</v>
      </c>
      <c r="CX1" s="63">
        <v>58</v>
      </c>
      <c r="CY1" s="63">
        <v>59</v>
      </c>
      <c r="CZ1" s="63">
        <v>60</v>
      </c>
      <c r="DA1" s="63">
        <v>61</v>
      </c>
      <c r="DB1" s="63">
        <v>62</v>
      </c>
      <c r="DC1" s="63">
        <v>63</v>
      </c>
      <c r="DD1" s="63">
        <v>64</v>
      </c>
      <c r="DE1" s="63">
        <v>65</v>
      </c>
    </row>
    <row r="2" spans="1:109" ht="21" x14ac:dyDescent="0.4">
      <c r="A2" s="65">
        <f>Simulador!D14</f>
        <v>469.82357100000002</v>
      </c>
      <c r="B2" s="66"/>
      <c r="C2" s="66"/>
      <c r="D2" s="61">
        <v>2</v>
      </c>
      <c r="E2" s="67">
        <v>0</v>
      </c>
      <c r="F2" s="67">
        <v>0</v>
      </c>
      <c r="G2" s="67">
        <v>0</v>
      </c>
      <c r="H2" s="67">
        <v>0</v>
      </c>
      <c r="I2" s="67">
        <v>0</v>
      </c>
      <c r="J2" s="67">
        <v>0</v>
      </c>
      <c r="K2" s="67">
        <v>0</v>
      </c>
      <c r="L2" s="67">
        <v>0</v>
      </c>
      <c r="M2" s="67">
        <v>0</v>
      </c>
      <c r="N2" s="67">
        <v>0</v>
      </c>
      <c r="O2" s="67">
        <v>0</v>
      </c>
      <c r="P2" s="67">
        <v>0</v>
      </c>
      <c r="Q2" s="67">
        <v>0</v>
      </c>
      <c r="R2" s="67">
        <v>0</v>
      </c>
      <c r="S2" s="67">
        <v>0</v>
      </c>
      <c r="T2" s="67">
        <v>0</v>
      </c>
      <c r="U2" s="67">
        <v>0</v>
      </c>
      <c r="V2" s="67">
        <v>0</v>
      </c>
      <c r="W2" s="67">
        <v>0</v>
      </c>
      <c r="X2" s="68">
        <v>0</v>
      </c>
      <c r="Y2" s="68">
        <v>0</v>
      </c>
      <c r="Z2" s="68">
        <v>0</v>
      </c>
      <c r="AA2" s="68">
        <v>0</v>
      </c>
      <c r="AB2" s="68">
        <v>0</v>
      </c>
      <c r="AC2" s="68">
        <v>0</v>
      </c>
      <c r="AD2" s="68">
        <v>0</v>
      </c>
      <c r="AE2" s="69">
        <v>0</v>
      </c>
      <c r="AF2" s="68">
        <v>0</v>
      </c>
      <c r="AG2" s="68">
        <v>0</v>
      </c>
      <c r="AH2" s="68">
        <v>0</v>
      </c>
      <c r="AI2" s="68">
        <v>0</v>
      </c>
      <c r="AJ2" s="68">
        <v>0</v>
      </c>
      <c r="AK2" s="68">
        <v>0</v>
      </c>
      <c r="AL2" s="68">
        <v>0</v>
      </c>
      <c r="AM2" s="68">
        <v>0</v>
      </c>
      <c r="AN2" s="68">
        <v>0</v>
      </c>
      <c r="AO2" s="68">
        <v>0</v>
      </c>
      <c r="AP2" s="68">
        <v>0</v>
      </c>
      <c r="AQ2" s="68">
        <v>0</v>
      </c>
      <c r="AR2" s="68">
        <v>0</v>
      </c>
      <c r="AS2" s="68">
        <v>0</v>
      </c>
      <c r="AT2" s="68">
        <v>0</v>
      </c>
      <c r="AU2" s="68">
        <v>0</v>
      </c>
      <c r="AV2" s="68">
        <v>0</v>
      </c>
      <c r="AW2" s="68">
        <v>0</v>
      </c>
      <c r="AX2" s="68">
        <v>0</v>
      </c>
      <c r="AY2" s="68">
        <v>0</v>
      </c>
      <c r="AZ2" s="68">
        <v>0</v>
      </c>
      <c r="BA2" s="68">
        <v>0</v>
      </c>
      <c r="BB2" s="68">
        <v>0</v>
      </c>
      <c r="BC2" s="68">
        <v>0</v>
      </c>
      <c r="BD2" s="68">
        <v>0</v>
      </c>
      <c r="BE2" s="68"/>
      <c r="BF2" s="68">
        <v>0</v>
      </c>
      <c r="BG2" s="68">
        <v>0</v>
      </c>
      <c r="BH2" s="68">
        <v>0</v>
      </c>
      <c r="BI2" s="68">
        <v>0</v>
      </c>
      <c r="BJ2" s="68">
        <v>0</v>
      </c>
      <c r="BK2" s="68">
        <v>0</v>
      </c>
      <c r="BL2" s="68">
        <v>0</v>
      </c>
      <c r="BM2" s="68">
        <v>0</v>
      </c>
      <c r="BN2" s="68">
        <v>0</v>
      </c>
      <c r="BO2" s="68">
        <v>0</v>
      </c>
      <c r="BP2" s="68">
        <v>0</v>
      </c>
      <c r="BQ2" s="68">
        <v>0</v>
      </c>
      <c r="BR2" s="68">
        <v>0</v>
      </c>
      <c r="BS2" s="68">
        <v>0</v>
      </c>
      <c r="BT2" s="68">
        <v>0</v>
      </c>
      <c r="BU2" s="68">
        <v>0</v>
      </c>
      <c r="BV2" s="70">
        <v>0</v>
      </c>
      <c r="BW2" s="70">
        <v>0</v>
      </c>
      <c r="BX2" s="70">
        <v>0</v>
      </c>
      <c r="BY2" s="70">
        <v>0</v>
      </c>
      <c r="BZ2" s="70">
        <v>0</v>
      </c>
      <c r="CA2" s="70">
        <v>0</v>
      </c>
      <c r="CB2" s="70">
        <v>0</v>
      </c>
      <c r="CC2" s="70">
        <v>0</v>
      </c>
      <c r="CD2" s="70">
        <v>0</v>
      </c>
      <c r="CE2" s="70">
        <v>0</v>
      </c>
      <c r="CF2" s="70">
        <v>0</v>
      </c>
      <c r="CG2" s="70">
        <v>0</v>
      </c>
      <c r="CH2" s="70">
        <v>0</v>
      </c>
      <c r="CI2" s="70">
        <v>0</v>
      </c>
      <c r="CJ2" s="70">
        <v>0</v>
      </c>
      <c r="CK2" s="70">
        <v>0</v>
      </c>
      <c r="CL2" s="70">
        <v>0</v>
      </c>
      <c r="CM2" s="70">
        <v>0</v>
      </c>
      <c r="CN2" s="70">
        <v>0</v>
      </c>
      <c r="CO2" s="70">
        <v>0</v>
      </c>
      <c r="CP2" s="70">
        <v>0</v>
      </c>
      <c r="CQ2" s="70">
        <v>0</v>
      </c>
      <c r="CR2" s="70">
        <v>0</v>
      </c>
      <c r="CS2" s="70">
        <v>0</v>
      </c>
      <c r="CT2" s="70">
        <v>0</v>
      </c>
      <c r="CU2" s="70">
        <v>0</v>
      </c>
      <c r="CV2" s="70">
        <v>0</v>
      </c>
      <c r="CW2" s="70">
        <v>0</v>
      </c>
      <c r="CX2" s="70">
        <v>0</v>
      </c>
      <c r="CY2" s="70">
        <v>0</v>
      </c>
      <c r="CZ2" s="70">
        <v>0</v>
      </c>
      <c r="DA2" s="70">
        <v>0</v>
      </c>
      <c r="DB2" s="70">
        <v>0</v>
      </c>
      <c r="DC2" s="70">
        <v>0</v>
      </c>
      <c r="DD2" s="70">
        <v>0</v>
      </c>
      <c r="DE2" s="70">
        <v>0</v>
      </c>
    </row>
    <row r="3" spans="1:109" ht="21" x14ac:dyDescent="0.4">
      <c r="A3" s="65">
        <f>A2*(1+Simulador!$G$3)</f>
        <v>495.66386740499996</v>
      </c>
      <c r="B3" s="66"/>
      <c r="C3" s="66"/>
      <c r="D3" s="61">
        <v>3</v>
      </c>
      <c r="E3" s="67">
        <v>0</v>
      </c>
      <c r="F3" s="67">
        <v>0</v>
      </c>
      <c r="G3" s="67">
        <v>0</v>
      </c>
      <c r="H3" s="67">
        <v>0</v>
      </c>
      <c r="I3" s="67">
        <v>0</v>
      </c>
      <c r="J3" s="67">
        <v>0</v>
      </c>
      <c r="K3" s="67">
        <v>0</v>
      </c>
      <c r="L3" s="67">
        <v>0</v>
      </c>
      <c r="M3" s="67">
        <v>0</v>
      </c>
      <c r="N3" s="67">
        <v>0</v>
      </c>
      <c r="O3" s="67">
        <v>0</v>
      </c>
      <c r="P3" s="67">
        <v>0</v>
      </c>
      <c r="Q3" s="67">
        <v>0</v>
      </c>
      <c r="R3" s="67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8">
        <v>0</v>
      </c>
      <c r="Y3" s="68">
        <v>0</v>
      </c>
      <c r="Z3" s="68">
        <v>0</v>
      </c>
      <c r="AA3" s="68">
        <v>0</v>
      </c>
      <c r="AB3" s="68">
        <v>0</v>
      </c>
      <c r="AC3" s="68">
        <v>0</v>
      </c>
      <c r="AD3" s="68">
        <v>0</v>
      </c>
      <c r="AE3" s="69">
        <v>0</v>
      </c>
      <c r="AF3" s="68">
        <v>0</v>
      </c>
      <c r="AG3" s="68">
        <v>0</v>
      </c>
      <c r="AH3" s="68">
        <v>0</v>
      </c>
      <c r="AI3" s="68">
        <v>0</v>
      </c>
      <c r="AJ3" s="68">
        <v>0</v>
      </c>
      <c r="AK3" s="68">
        <v>0</v>
      </c>
      <c r="AL3" s="68">
        <v>0</v>
      </c>
      <c r="AM3" s="68">
        <v>0</v>
      </c>
      <c r="AN3" s="68">
        <v>0</v>
      </c>
      <c r="AO3" s="68">
        <v>0</v>
      </c>
      <c r="AP3" s="68">
        <v>0</v>
      </c>
      <c r="AQ3" s="68">
        <v>0</v>
      </c>
      <c r="AR3" s="68">
        <v>0</v>
      </c>
      <c r="AS3" s="68">
        <v>0</v>
      </c>
      <c r="AT3" s="68">
        <v>0</v>
      </c>
      <c r="AU3" s="68">
        <v>0</v>
      </c>
      <c r="AV3" s="68">
        <v>0</v>
      </c>
      <c r="AW3" s="68">
        <v>0</v>
      </c>
      <c r="AX3" s="68">
        <v>0</v>
      </c>
      <c r="AY3" s="68">
        <v>0</v>
      </c>
      <c r="AZ3" s="68">
        <v>0</v>
      </c>
      <c r="BA3" s="68">
        <v>0</v>
      </c>
      <c r="BB3" s="68">
        <v>0</v>
      </c>
      <c r="BC3" s="68">
        <v>0</v>
      </c>
      <c r="BD3" s="68">
        <v>0</v>
      </c>
      <c r="BE3" s="68"/>
      <c r="BF3" s="68">
        <v>0</v>
      </c>
      <c r="BG3" s="68">
        <v>0</v>
      </c>
      <c r="BH3" s="68">
        <v>0</v>
      </c>
      <c r="BI3" s="68">
        <v>0</v>
      </c>
      <c r="BJ3" s="68">
        <v>0</v>
      </c>
      <c r="BK3" s="68">
        <v>0</v>
      </c>
      <c r="BL3" s="68">
        <v>0</v>
      </c>
      <c r="BM3" s="68">
        <v>0</v>
      </c>
      <c r="BN3" s="68">
        <v>0</v>
      </c>
      <c r="BO3" s="68">
        <v>0</v>
      </c>
      <c r="BP3" s="68">
        <v>0</v>
      </c>
      <c r="BQ3" s="68">
        <v>0</v>
      </c>
      <c r="BR3" s="68">
        <v>0</v>
      </c>
      <c r="BS3" s="68">
        <v>0</v>
      </c>
      <c r="BT3" s="68">
        <v>0</v>
      </c>
      <c r="BU3" s="68">
        <v>0</v>
      </c>
      <c r="BV3" s="70">
        <v>0</v>
      </c>
      <c r="BW3" s="70">
        <v>0</v>
      </c>
      <c r="BX3" s="70">
        <v>0</v>
      </c>
      <c r="BY3" s="70">
        <v>0</v>
      </c>
      <c r="BZ3" s="70">
        <v>0</v>
      </c>
      <c r="CA3" s="70">
        <v>0</v>
      </c>
      <c r="CB3" s="70">
        <v>0</v>
      </c>
      <c r="CC3" s="70">
        <v>0</v>
      </c>
      <c r="CD3" s="70">
        <v>0</v>
      </c>
      <c r="CE3" s="70">
        <v>0</v>
      </c>
      <c r="CF3" s="70">
        <v>0</v>
      </c>
      <c r="CG3" s="70">
        <v>0</v>
      </c>
      <c r="CH3" s="70">
        <v>0</v>
      </c>
      <c r="CI3" s="70">
        <v>0</v>
      </c>
      <c r="CJ3" s="70">
        <v>0</v>
      </c>
      <c r="CK3" s="70">
        <v>0</v>
      </c>
      <c r="CL3" s="70">
        <v>0</v>
      </c>
      <c r="CM3" s="70">
        <v>0</v>
      </c>
      <c r="CN3" s="70">
        <v>0</v>
      </c>
      <c r="CO3" s="70">
        <v>0</v>
      </c>
      <c r="CP3" s="70">
        <v>0</v>
      </c>
      <c r="CQ3" s="70">
        <v>0</v>
      </c>
      <c r="CR3" s="70">
        <v>0</v>
      </c>
      <c r="CS3" s="70">
        <v>0</v>
      </c>
      <c r="CT3" s="70">
        <v>0</v>
      </c>
      <c r="CU3" s="70">
        <v>0</v>
      </c>
      <c r="CV3" s="70">
        <v>0</v>
      </c>
      <c r="CW3" s="70">
        <v>0</v>
      </c>
      <c r="CX3" s="70">
        <v>0</v>
      </c>
      <c r="CY3" s="70">
        <v>0</v>
      </c>
      <c r="CZ3" s="70">
        <v>0</v>
      </c>
      <c r="DA3" s="70">
        <v>0</v>
      </c>
      <c r="DB3" s="70">
        <v>0</v>
      </c>
      <c r="DC3" s="70">
        <v>0</v>
      </c>
      <c r="DD3" s="70">
        <v>0</v>
      </c>
      <c r="DE3" s="70">
        <v>0</v>
      </c>
    </row>
    <row r="4" spans="1:109" ht="21" x14ac:dyDescent="0.4">
      <c r="A4" s="65">
        <f>A3*(1+Simulador!$G$3)</f>
        <v>522.92538011227498</v>
      </c>
      <c r="B4" s="66"/>
      <c r="C4" s="66"/>
      <c r="D4" s="61">
        <v>4</v>
      </c>
      <c r="E4" s="67">
        <v>1.056E-2</v>
      </c>
      <c r="F4" s="67">
        <v>1.078E-2</v>
      </c>
      <c r="G4" s="67">
        <v>1.1010000000000001E-2</v>
      </c>
      <c r="H4" s="67">
        <v>1.125E-2</v>
      </c>
      <c r="I4" s="67">
        <v>1.017E-2</v>
      </c>
      <c r="J4" s="67">
        <v>1.18E-2</v>
      </c>
      <c r="K4" s="67">
        <v>1.21E-2</v>
      </c>
      <c r="L4" s="67">
        <v>1.2409999999999999E-2</v>
      </c>
      <c r="M4" s="67">
        <v>1.2749999999999999E-2</v>
      </c>
      <c r="N4" s="67">
        <v>1.3100000000000001E-2</v>
      </c>
      <c r="O4" s="67">
        <v>1.346E-2</v>
      </c>
      <c r="P4" s="67">
        <v>1.383E-2</v>
      </c>
      <c r="Q4" s="67">
        <v>1.4200000000000001E-2</v>
      </c>
      <c r="R4" s="67">
        <v>1.4590000000000001E-2</v>
      </c>
      <c r="S4" s="67">
        <v>1.498E-2</v>
      </c>
      <c r="T4" s="67">
        <v>1.5380000000000003E-2</v>
      </c>
      <c r="U4" s="67">
        <v>1.5780000000000002E-2</v>
      </c>
      <c r="V4" s="67">
        <v>1.6190000000000003E-2</v>
      </c>
      <c r="W4" s="67">
        <v>1.6610000000000003E-2</v>
      </c>
      <c r="X4" s="68">
        <v>1.7030000000000003E-2</v>
      </c>
      <c r="Y4" s="68">
        <v>1.7460000000000003E-2</v>
      </c>
      <c r="Z4" s="68">
        <v>1.7890000000000003E-2</v>
      </c>
      <c r="AA4" s="68">
        <v>1.8330000000000003E-2</v>
      </c>
      <c r="AB4" s="68">
        <v>1.8770000000000002E-2</v>
      </c>
      <c r="AC4" s="68">
        <v>1.9220000000000001E-2</v>
      </c>
      <c r="AD4" s="68">
        <v>1.966E-2</v>
      </c>
      <c r="AE4" s="69">
        <v>2.0110000000000003E-2</v>
      </c>
      <c r="AF4" s="68">
        <v>2.0560000000000002E-2</v>
      </c>
      <c r="AG4" s="68">
        <v>2.102E-2</v>
      </c>
      <c r="AH4" s="68">
        <v>2.1480000000000003E-2</v>
      </c>
      <c r="AI4" s="68">
        <v>2.1950000000000001E-2</v>
      </c>
      <c r="AJ4" s="68">
        <v>2.2420000000000002E-2</v>
      </c>
      <c r="AK4" s="68">
        <v>2.2900000000000004E-2</v>
      </c>
      <c r="AL4" s="68">
        <v>2.3380000000000005E-2</v>
      </c>
      <c r="AM4" s="68">
        <v>2.3870000000000002E-2</v>
      </c>
      <c r="AN4" s="68">
        <v>2.4350000000000004E-2</v>
      </c>
      <c r="AO4" s="68">
        <v>2.4820000000000005E-2</v>
      </c>
      <c r="AP4" s="68">
        <v>2.5280000000000004E-2</v>
      </c>
      <c r="AQ4" s="68">
        <v>2.5730000000000003E-2</v>
      </c>
      <c r="AR4" s="68">
        <v>2.6170000000000002E-2</v>
      </c>
      <c r="AS4" s="68">
        <v>2.6600000000000002E-2</v>
      </c>
      <c r="AT4" s="68">
        <v>2.7030000000000002E-2</v>
      </c>
      <c r="AU4" s="68">
        <v>2.7460000000000005E-2</v>
      </c>
      <c r="AV4" s="68">
        <v>2.7890000000000005E-2</v>
      </c>
      <c r="AW4" s="68">
        <v>2.8310000000000002E-2</v>
      </c>
      <c r="AX4" s="68">
        <v>2.8710000000000003E-2</v>
      </c>
      <c r="AY4" s="68">
        <v>2.9090000000000005E-2</v>
      </c>
      <c r="AZ4" s="68">
        <v>2.9440000000000004E-2</v>
      </c>
      <c r="BA4" s="68">
        <v>2.9750000000000006E-2</v>
      </c>
      <c r="BB4" s="68">
        <v>3.0020000000000005E-2</v>
      </c>
      <c r="BC4" s="68">
        <v>3.0280000000000005E-2</v>
      </c>
      <c r="BD4" s="68">
        <v>3.0530000000000005E-2</v>
      </c>
      <c r="BE4" s="68"/>
      <c r="BF4" s="68">
        <v>9.2599999999999991E-3</v>
      </c>
      <c r="BG4" s="68">
        <v>9.4999999999999998E-3</v>
      </c>
      <c r="BH4" s="68">
        <v>9.7400000000000004E-3</v>
      </c>
      <c r="BI4" s="68">
        <v>9.9900000000000006E-3</v>
      </c>
      <c r="BJ4" s="68">
        <v>1.025E-2</v>
      </c>
      <c r="BK4" s="68">
        <v>1.051E-2</v>
      </c>
      <c r="BL4" s="68">
        <v>1.0789999999999999E-2</v>
      </c>
      <c r="BM4" s="68">
        <v>1.108E-2</v>
      </c>
      <c r="BN4" s="68">
        <v>1.137E-2</v>
      </c>
      <c r="BO4" s="68">
        <v>1.167E-2</v>
      </c>
      <c r="BP4" s="68">
        <v>1.1979999999999999E-2</v>
      </c>
      <c r="BQ4" s="68">
        <v>1.2290000000000001E-2</v>
      </c>
      <c r="BR4" s="68">
        <v>1.2619999999999999E-2</v>
      </c>
      <c r="BS4" s="68">
        <v>1.295E-2</v>
      </c>
      <c r="BT4" s="68">
        <v>1.329E-2</v>
      </c>
      <c r="BU4" s="70">
        <v>1.3639999999999999E-2</v>
      </c>
      <c r="BV4" s="70">
        <v>1.3990000000000001E-2</v>
      </c>
      <c r="BW4" s="70">
        <v>1.436E-2</v>
      </c>
      <c r="BX4" s="70">
        <v>1.473E-2</v>
      </c>
      <c r="BY4" s="70">
        <v>1.511E-2</v>
      </c>
      <c r="BZ4" s="70">
        <v>1.55E-2</v>
      </c>
      <c r="CA4" s="70">
        <v>1.5890000000000001E-2</v>
      </c>
      <c r="CB4" s="70">
        <v>1.6279999999999999E-2</v>
      </c>
      <c r="CC4" s="70">
        <v>1.6670000000000001E-2</v>
      </c>
      <c r="CD4" s="70">
        <v>1.7059999999999999E-2</v>
      </c>
      <c r="CE4" s="70">
        <v>1.745E-2</v>
      </c>
      <c r="CF4" s="70">
        <v>1.7850000000000001E-2</v>
      </c>
      <c r="CG4" s="70">
        <v>1.8259999999999998E-2</v>
      </c>
      <c r="CH4" s="70">
        <v>1.8679999999999999E-2</v>
      </c>
      <c r="CI4" s="70">
        <v>1.9099999999999999E-2</v>
      </c>
      <c r="CJ4" s="70">
        <v>1.9529999999999999E-2</v>
      </c>
      <c r="CK4" s="70">
        <v>1.9970000000000002E-2</v>
      </c>
      <c r="CL4" s="70">
        <v>2.0420000000000001E-2</v>
      </c>
      <c r="CM4" s="70">
        <v>2.087E-2</v>
      </c>
      <c r="CN4" s="70">
        <v>2.1329999999999998E-2</v>
      </c>
      <c r="CO4" s="70">
        <v>2.179E-2</v>
      </c>
      <c r="CP4" s="70">
        <v>2.2249999999999999E-2</v>
      </c>
      <c r="CQ4" s="70">
        <v>2.2710000000000001E-2</v>
      </c>
      <c r="CR4" s="70">
        <v>2.316E-2</v>
      </c>
      <c r="CS4" s="70">
        <v>2.3630000000000002E-2</v>
      </c>
      <c r="CT4" s="70">
        <v>2.41E-2</v>
      </c>
      <c r="CU4" s="70">
        <v>2.46E-2</v>
      </c>
      <c r="CV4" s="70">
        <v>2.512E-2</v>
      </c>
      <c r="CW4" s="70">
        <v>2.5659999999999999E-2</v>
      </c>
      <c r="CX4" s="70">
        <v>2.6200000000000001E-2</v>
      </c>
      <c r="CY4" s="70">
        <v>2.6749999999999999E-2</v>
      </c>
      <c r="CZ4" s="70">
        <v>2.7269999999999999E-2</v>
      </c>
      <c r="DA4" s="70">
        <v>2.776E-2</v>
      </c>
      <c r="DB4" s="70">
        <v>2.8209999999999999E-2</v>
      </c>
      <c r="DC4" s="70">
        <v>2.8629999999999999E-2</v>
      </c>
      <c r="DD4" s="70">
        <v>2.9049999999999999E-2</v>
      </c>
      <c r="DE4" s="70">
        <v>2.9489999999999999E-2</v>
      </c>
    </row>
    <row r="5" spans="1:109" ht="21" x14ac:dyDescent="0.4">
      <c r="A5" s="65">
        <f>A4*(1+Simulador!$G$3)</f>
        <v>551.68627601845003</v>
      </c>
      <c r="B5" s="66"/>
      <c r="C5" s="66"/>
      <c r="D5" s="61">
        <v>5</v>
      </c>
      <c r="E5" s="67">
        <v>2.6630000000000001E-2</v>
      </c>
      <c r="F5" s="67">
        <v>2.7199999999999998E-2</v>
      </c>
      <c r="G5" s="67">
        <v>2.7789999999999999E-2</v>
      </c>
      <c r="H5" s="67">
        <v>2.844E-2</v>
      </c>
      <c r="I5" s="67">
        <v>2.912E-2</v>
      </c>
      <c r="J5" s="67">
        <v>2.9850000000000002E-2</v>
      </c>
      <c r="K5" s="67">
        <v>3.0609999999999998E-2</v>
      </c>
      <c r="L5" s="67">
        <v>3.1419999999999997E-2</v>
      </c>
      <c r="M5" s="67">
        <v>3.227E-2</v>
      </c>
      <c r="N5" s="67">
        <v>3.3140000000000003E-2</v>
      </c>
      <c r="O5" s="67">
        <v>3.4049999999999997E-2</v>
      </c>
      <c r="P5" s="67">
        <v>3.4970000000000001E-2</v>
      </c>
      <c r="Q5" s="67">
        <v>3.5920000000000001E-2</v>
      </c>
      <c r="R5" s="67">
        <v>3.6880000000000003E-2</v>
      </c>
      <c r="S5" s="67">
        <v>3.7859999999999998E-2</v>
      </c>
      <c r="T5" s="67">
        <v>3.8860000000000006E-2</v>
      </c>
      <c r="U5" s="67">
        <v>3.9880000000000013E-2</v>
      </c>
      <c r="V5" s="67">
        <v>4.0910000000000009E-2</v>
      </c>
      <c r="W5" s="67">
        <v>4.1960000000000011E-2</v>
      </c>
      <c r="X5" s="68">
        <v>4.302000000000001E-2</v>
      </c>
      <c r="Y5" s="68">
        <v>4.4100000000000007E-2</v>
      </c>
      <c r="Z5" s="68">
        <v>4.5180000000000012E-2</v>
      </c>
      <c r="AA5" s="68">
        <v>4.6280000000000009E-2</v>
      </c>
      <c r="AB5" s="68">
        <v>4.7390000000000015E-2</v>
      </c>
      <c r="AC5" s="68">
        <v>4.8500000000000015E-2</v>
      </c>
      <c r="AD5" s="68">
        <v>4.9630000000000007E-2</v>
      </c>
      <c r="AE5" s="69">
        <v>5.0760000000000013E-2</v>
      </c>
      <c r="AF5" s="68">
        <v>5.1900000000000009E-2</v>
      </c>
      <c r="AG5" s="68">
        <v>5.306000000000001E-2</v>
      </c>
      <c r="AH5" s="68">
        <v>5.4230000000000007E-2</v>
      </c>
      <c r="AI5" s="68">
        <v>5.5410000000000015E-2</v>
      </c>
      <c r="AJ5" s="68">
        <v>5.6600000000000011E-2</v>
      </c>
      <c r="AK5" s="68">
        <v>5.7810000000000007E-2</v>
      </c>
      <c r="AL5" s="68">
        <v>5.9030000000000013E-2</v>
      </c>
      <c r="AM5" s="68">
        <v>6.0240000000000016E-2</v>
      </c>
      <c r="AN5" s="68">
        <v>6.1440000000000015E-2</v>
      </c>
      <c r="AO5" s="68">
        <v>6.2630000000000019E-2</v>
      </c>
      <c r="AP5" s="68">
        <v>6.3780000000000017E-2</v>
      </c>
      <c r="AQ5" s="68">
        <v>6.4910000000000009E-2</v>
      </c>
      <c r="AR5" s="68">
        <v>6.6030000000000019E-2</v>
      </c>
      <c r="AS5" s="68">
        <v>6.6230000000000011E-2</v>
      </c>
      <c r="AT5" s="68">
        <v>6.8230000000000013E-2</v>
      </c>
      <c r="AU5" s="68">
        <v>6.932000000000002E-2</v>
      </c>
      <c r="AV5" s="68">
        <v>7.0410000000000014E-2</v>
      </c>
      <c r="AW5" s="68">
        <v>7.1470000000000006E-2</v>
      </c>
      <c r="AX5" s="68">
        <v>7.2480000000000017E-2</v>
      </c>
      <c r="AY5" s="68">
        <v>7.3420000000000013E-2</v>
      </c>
      <c r="AZ5" s="68">
        <v>7.4280000000000013E-2</v>
      </c>
      <c r="BA5" s="68">
        <v>7.5070000000000012E-2</v>
      </c>
      <c r="BB5" s="68">
        <v>7.5790000000000024E-2</v>
      </c>
      <c r="BC5" s="68">
        <v>7.647000000000001E-2</v>
      </c>
      <c r="BD5" s="68">
        <v>7.7140000000000014E-2</v>
      </c>
      <c r="BE5" s="68"/>
      <c r="BF5" s="68">
        <v>2.3390000000000001E-2</v>
      </c>
      <c r="BG5" s="68">
        <v>2.3990000000000001E-2</v>
      </c>
      <c r="BH5" s="68">
        <v>2.46E-2</v>
      </c>
      <c r="BI5" s="68">
        <v>2.5229999999999999E-2</v>
      </c>
      <c r="BJ5" s="68">
        <v>2.589E-2</v>
      </c>
      <c r="BK5" s="68">
        <v>2.657E-2</v>
      </c>
      <c r="BL5" s="68">
        <v>2.7269999999999999E-2</v>
      </c>
      <c r="BM5" s="68">
        <v>2.7990000000000001E-2</v>
      </c>
      <c r="BN5" s="68">
        <v>2.8729999999999999E-2</v>
      </c>
      <c r="BO5" s="68">
        <v>2.9489999999999999E-2</v>
      </c>
      <c r="BP5" s="68">
        <v>3.0259999999999999E-2</v>
      </c>
      <c r="BQ5" s="68">
        <v>3.1060000000000001E-2</v>
      </c>
      <c r="BR5" s="68">
        <v>3.1879999999999999E-2</v>
      </c>
      <c r="BS5" s="68">
        <v>3.2719999999999999E-2</v>
      </c>
      <c r="BT5" s="68">
        <v>3.3570000000000003E-2</v>
      </c>
      <c r="BU5" s="70">
        <v>3.4450000000000001E-2</v>
      </c>
      <c r="BV5" s="70">
        <v>3.5349999999999999E-2</v>
      </c>
      <c r="BW5" s="70">
        <v>3.628E-2</v>
      </c>
      <c r="BX5" s="70">
        <v>3.7220000000000003E-2</v>
      </c>
      <c r="BY5" s="70">
        <v>3.8170000000000003E-2</v>
      </c>
      <c r="BZ5" s="70">
        <v>3.9140000000000001E-2</v>
      </c>
      <c r="CA5" s="70">
        <v>4.011E-2</v>
      </c>
      <c r="CB5" s="70">
        <v>4.1079999999999998E-2</v>
      </c>
      <c r="CC5" s="70">
        <v>4.206E-2</v>
      </c>
      <c r="CD5" s="70">
        <v>4.3049999999999998E-2</v>
      </c>
      <c r="CE5" s="70">
        <v>4.4049999999999999E-2</v>
      </c>
      <c r="CF5" s="70">
        <v>4.5060000000000003E-2</v>
      </c>
      <c r="CG5" s="70">
        <v>4.6100000000000002E-2</v>
      </c>
      <c r="CH5" s="70">
        <v>4.7149999999999997E-2</v>
      </c>
      <c r="CI5" s="70">
        <v>4.8230000000000002E-2</v>
      </c>
      <c r="CJ5" s="70">
        <v>4.9320000000000003E-2</v>
      </c>
      <c r="CK5" s="70">
        <v>5.0439999999999999E-2</v>
      </c>
      <c r="CL5" s="70">
        <v>5.1560000000000002E-2</v>
      </c>
      <c r="CM5" s="70">
        <v>5.271E-2</v>
      </c>
      <c r="CN5" s="70">
        <v>5.3859999999999998E-2</v>
      </c>
      <c r="CO5" s="70">
        <v>5.5019999999999999E-2</v>
      </c>
      <c r="CP5" s="70">
        <v>5.6169999999999998E-2</v>
      </c>
      <c r="CQ5" s="70">
        <v>5.7329999999999999E-2</v>
      </c>
      <c r="CR5" s="70">
        <v>5.8500000000000003E-2</v>
      </c>
      <c r="CS5" s="70">
        <v>5.969E-2</v>
      </c>
      <c r="CT5" s="70">
        <v>6.0920000000000002E-2</v>
      </c>
      <c r="CU5" s="70">
        <v>6.2199999999999998E-2</v>
      </c>
      <c r="CV5" s="70">
        <v>6.3519999999999993E-2</v>
      </c>
      <c r="CW5" s="70">
        <v>6.4869999999999997E-2</v>
      </c>
      <c r="CX5" s="70">
        <v>6.6239999999999993E-2</v>
      </c>
      <c r="CY5" s="70">
        <v>6.7570000000000005E-2</v>
      </c>
      <c r="CZ5" s="70">
        <v>6.8839999999999998E-2</v>
      </c>
      <c r="DA5" s="70">
        <v>7.0040000000000005E-2</v>
      </c>
      <c r="DB5" s="70">
        <v>7.1169999999999997E-2</v>
      </c>
      <c r="DC5" s="70">
        <v>7.2270000000000001E-2</v>
      </c>
      <c r="DD5" s="70">
        <v>7.3370000000000005E-2</v>
      </c>
      <c r="DE5" s="70">
        <v>7.4529999999999999E-2</v>
      </c>
    </row>
    <row r="6" spans="1:109" ht="21" x14ac:dyDescent="0.4">
      <c r="A6" s="65">
        <f>A5*(1+Simulador!$G$3)</f>
        <v>582.02902119946475</v>
      </c>
      <c r="B6" s="66"/>
      <c r="C6" s="66"/>
      <c r="D6" s="61">
        <v>6</v>
      </c>
      <c r="E6" s="67">
        <v>5.4219999999999997E-2</v>
      </c>
      <c r="F6" s="67">
        <v>5.5410000000000001E-2</v>
      </c>
      <c r="G6" s="67">
        <v>5.6680000000000001E-2</v>
      </c>
      <c r="H6" s="67">
        <v>5.8020000000000002E-2</v>
      </c>
      <c r="I6" s="67">
        <v>5.944E-2</v>
      </c>
      <c r="J6" s="67">
        <v>6.0949999999999997E-2</v>
      </c>
      <c r="K6" s="67">
        <v>6.2530000000000002E-2</v>
      </c>
      <c r="L6" s="67">
        <v>6.4189999999999997E-2</v>
      </c>
      <c r="M6" s="67">
        <v>6.5909999999999996E-2</v>
      </c>
      <c r="N6" s="67">
        <v>6.769E-2</v>
      </c>
      <c r="O6" s="67">
        <v>6.9519999999999998E-2</v>
      </c>
      <c r="P6" s="67">
        <v>7.1389999999999995E-2</v>
      </c>
      <c r="Q6" s="67">
        <v>7.331E-2</v>
      </c>
      <c r="R6" s="67">
        <v>7.5259999999999994E-2</v>
      </c>
      <c r="S6" s="67">
        <v>7.7240000000000003E-2</v>
      </c>
      <c r="T6" s="67">
        <v>7.9270000000000007E-2</v>
      </c>
      <c r="U6" s="67">
        <v>8.1330000000000013E-2</v>
      </c>
      <c r="V6" s="67">
        <v>8.3420000000000008E-2</v>
      </c>
      <c r="W6" s="67">
        <v>8.5550000000000015E-2</v>
      </c>
      <c r="X6" s="68">
        <v>8.7700000000000014E-2</v>
      </c>
      <c r="Y6" s="68">
        <v>8.9880000000000015E-2</v>
      </c>
      <c r="Z6" s="68">
        <v>9.2090000000000005E-2</v>
      </c>
      <c r="AA6" s="68">
        <v>9.4310000000000019E-2</v>
      </c>
      <c r="AB6" s="68">
        <v>9.6560000000000021E-2</v>
      </c>
      <c r="AC6" s="68">
        <v>9.8830000000000015E-2</v>
      </c>
      <c r="AD6" s="68">
        <v>0.10112000000000003</v>
      </c>
      <c r="AE6" s="69">
        <v>0.10343000000000001</v>
      </c>
      <c r="AF6" s="68">
        <v>0.10577000000000002</v>
      </c>
      <c r="AG6" s="68">
        <v>0.10813000000000002</v>
      </c>
      <c r="AH6" s="68">
        <v>0.11051000000000001</v>
      </c>
      <c r="AI6" s="68">
        <v>0.11293000000000002</v>
      </c>
      <c r="AJ6" s="68">
        <v>0.11537000000000001</v>
      </c>
      <c r="AK6" s="68">
        <v>0.11783000000000002</v>
      </c>
      <c r="AL6" s="68">
        <v>0.12030000000000002</v>
      </c>
      <c r="AM6" s="68">
        <v>0.12276000000000002</v>
      </c>
      <c r="AN6" s="68">
        <v>0.12519000000000002</v>
      </c>
      <c r="AO6" s="68">
        <v>0.12758000000000003</v>
      </c>
      <c r="AP6" s="68">
        <v>0.12994</v>
      </c>
      <c r="AQ6" s="68">
        <v>0.13226000000000004</v>
      </c>
      <c r="AR6" s="68">
        <v>0.13456000000000001</v>
      </c>
      <c r="AS6" s="68">
        <v>0.13684000000000002</v>
      </c>
      <c r="AT6" s="68">
        <v>0.13911000000000001</v>
      </c>
      <c r="AU6" s="68">
        <v>0.14137000000000002</v>
      </c>
      <c r="AV6" s="68">
        <v>0.14087000000000002</v>
      </c>
      <c r="AW6" s="68">
        <v>0.14573000000000003</v>
      </c>
      <c r="AX6" s="68">
        <v>0.14777000000000004</v>
      </c>
      <c r="AY6" s="68">
        <v>0.14968000000000004</v>
      </c>
      <c r="AZ6" s="68">
        <v>0.15145000000000003</v>
      </c>
      <c r="BA6" s="68">
        <v>0.15310000000000001</v>
      </c>
      <c r="BB6" s="68">
        <v>0.15466000000000002</v>
      </c>
      <c r="BC6" s="68">
        <v>0.15615000000000001</v>
      </c>
      <c r="BD6" s="68">
        <v>0.15758000000000003</v>
      </c>
      <c r="BE6" s="68"/>
      <c r="BF6" s="68">
        <v>4.7690000000000003E-2</v>
      </c>
      <c r="BG6" s="68">
        <v>4.8910000000000002E-2</v>
      </c>
      <c r="BH6" s="68">
        <v>5.0160000000000003E-2</v>
      </c>
      <c r="BI6" s="68">
        <v>5.1459999999999999E-2</v>
      </c>
      <c r="BJ6" s="68">
        <v>5.2810000000000003E-2</v>
      </c>
      <c r="BK6" s="68">
        <v>5.4190000000000002E-2</v>
      </c>
      <c r="BL6" s="68">
        <v>5.5620000000000003E-2</v>
      </c>
      <c r="BM6" s="68">
        <v>5.7090000000000002E-2</v>
      </c>
      <c r="BN6" s="68">
        <v>5.8599999999999999E-2</v>
      </c>
      <c r="BO6" s="68">
        <v>6.0139999999999999E-2</v>
      </c>
      <c r="BP6" s="68">
        <v>6.173E-2</v>
      </c>
      <c r="BQ6" s="68">
        <v>6.3350000000000004E-2</v>
      </c>
      <c r="BR6" s="68">
        <v>6.5019999999999994E-2</v>
      </c>
      <c r="BS6" s="68">
        <v>6.6720000000000002E-2</v>
      </c>
      <c r="BT6" s="68">
        <v>6.8470000000000003E-2</v>
      </c>
      <c r="BU6" s="70">
        <v>7.0260000000000003E-2</v>
      </c>
      <c r="BV6" s="70">
        <v>7.2099999999999997E-2</v>
      </c>
      <c r="BW6" s="70">
        <v>7.3969999999999994E-2</v>
      </c>
      <c r="BX6" s="70">
        <v>7.5880000000000003E-2</v>
      </c>
      <c r="BY6" s="70">
        <v>7.7810000000000004E-2</v>
      </c>
      <c r="BZ6" s="70">
        <v>7.9759999999999998E-2</v>
      </c>
      <c r="CA6" s="70">
        <v>8.1720000000000001E-2</v>
      </c>
      <c r="CB6" s="70">
        <v>8.3699999999999997E-2</v>
      </c>
      <c r="CC6" s="70">
        <v>8.5690000000000002E-2</v>
      </c>
      <c r="CD6" s="70">
        <v>8.7709999999999996E-2</v>
      </c>
      <c r="CE6" s="70">
        <v>8.9749999999999996E-2</v>
      </c>
      <c r="CF6" s="70">
        <v>9.1829999999999995E-2</v>
      </c>
      <c r="CG6" s="70">
        <v>9.3950000000000006E-2</v>
      </c>
      <c r="CH6" s="70">
        <v>9.6110000000000001E-2</v>
      </c>
      <c r="CI6" s="70">
        <v>9.8309999999999995E-2</v>
      </c>
      <c r="CJ6" s="70">
        <v>0.10055</v>
      </c>
      <c r="CK6" s="70">
        <v>0.10281999999999999</v>
      </c>
      <c r="CL6" s="70">
        <v>0.10512000000000001</v>
      </c>
      <c r="CM6" s="70">
        <v>0.10745</v>
      </c>
      <c r="CN6" s="70">
        <v>0.10979</v>
      </c>
      <c r="CO6" s="70">
        <v>0.11215</v>
      </c>
      <c r="CP6" s="70">
        <v>0.11451</v>
      </c>
      <c r="CQ6" s="70">
        <v>0.1169</v>
      </c>
      <c r="CR6" s="70">
        <v>0.11932</v>
      </c>
      <c r="CS6" s="70">
        <v>0.12179</v>
      </c>
      <c r="CT6" s="70">
        <v>0.12435</v>
      </c>
      <c r="CU6" s="70">
        <v>0.12698000000000001</v>
      </c>
      <c r="CV6" s="70">
        <v>0.13467999999999999</v>
      </c>
      <c r="CW6" s="70">
        <v>0.13241</v>
      </c>
      <c r="CX6" s="70">
        <v>0.13513</v>
      </c>
      <c r="CY6" s="70">
        <v>0.13777</v>
      </c>
      <c r="CZ6" s="70">
        <v>0.14030000000000001</v>
      </c>
      <c r="DA6" s="70">
        <v>0.14273</v>
      </c>
      <c r="DB6" s="70">
        <v>0.14507</v>
      </c>
      <c r="DC6" s="70">
        <v>0.14738999999999999</v>
      </c>
      <c r="DD6" s="70">
        <v>0.14974999999999999</v>
      </c>
      <c r="DE6" s="70">
        <v>0.15218000000000001</v>
      </c>
    </row>
    <row r="7" spans="1:109" ht="21" x14ac:dyDescent="0.4">
      <c r="A7" s="65">
        <f>A6*(1+Simulador!$G$3)</f>
        <v>614.04061736543531</v>
      </c>
      <c r="B7" s="66"/>
      <c r="C7" s="66"/>
      <c r="D7" s="61">
        <v>7</v>
      </c>
      <c r="E7" s="67">
        <v>8.0640000000000003E-2</v>
      </c>
      <c r="F7" s="67">
        <v>8.2479999999999998E-2</v>
      </c>
      <c r="G7" s="67">
        <v>8.4419999999999995E-2</v>
      </c>
      <c r="H7" s="67">
        <v>8.6459999999999995E-2</v>
      </c>
      <c r="I7" s="67">
        <v>8.8620000000000004E-2</v>
      </c>
      <c r="J7" s="67">
        <v>9.0889999999999999E-2</v>
      </c>
      <c r="K7" s="67">
        <v>9.3259999999999996E-2</v>
      </c>
      <c r="L7" s="67">
        <v>9.5729999999999996E-2</v>
      </c>
      <c r="M7" s="67">
        <v>9.8290000000000002E-2</v>
      </c>
      <c r="N7" s="67">
        <v>0.10092</v>
      </c>
      <c r="O7" s="67">
        <v>0.10363</v>
      </c>
      <c r="P7" s="67">
        <v>0.10639999999999999</v>
      </c>
      <c r="Q7" s="67">
        <v>0.10922</v>
      </c>
      <c r="R7" s="67">
        <v>0.11211</v>
      </c>
      <c r="S7" s="67">
        <v>0.11505</v>
      </c>
      <c r="T7" s="67">
        <v>0.11805000000000003</v>
      </c>
      <c r="U7" s="67">
        <v>0.12110000000000003</v>
      </c>
      <c r="V7" s="67">
        <v>0.12420000000000003</v>
      </c>
      <c r="W7" s="67">
        <v>0.12734000000000001</v>
      </c>
      <c r="X7" s="68">
        <v>0.13053000000000001</v>
      </c>
      <c r="Y7" s="68">
        <v>0.13376000000000002</v>
      </c>
      <c r="Z7" s="68">
        <v>0.13703000000000001</v>
      </c>
      <c r="AA7" s="68">
        <v>0.14033000000000001</v>
      </c>
      <c r="AB7" s="68">
        <v>0.14367000000000002</v>
      </c>
      <c r="AC7" s="68">
        <v>0.14705000000000004</v>
      </c>
      <c r="AD7" s="68">
        <v>0.15045000000000003</v>
      </c>
      <c r="AE7" s="69">
        <v>0.15390000000000004</v>
      </c>
      <c r="AF7" s="68">
        <v>0.15739000000000003</v>
      </c>
      <c r="AG7" s="68">
        <v>0.16091000000000003</v>
      </c>
      <c r="AH7" s="68">
        <v>0.16448000000000002</v>
      </c>
      <c r="AI7" s="68">
        <v>0.16808000000000003</v>
      </c>
      <c r="AJ7" s="68">
        <v>0.17172000000000004</v>
      </c>
      <c r="AK7" s="68">
        <v>0.17537000000000003</v>
      </c>
      <c r="AL7" s="68">
        <v>0.17903000000000002</v>
      </c>
      <c r="AM7" s="68">
        <v>0.18267000000000003</v>
      </c>
      <c r="AN7" s="68">
        <v>0.18628000000000003</v>
      </c>
      <c r="AO7" s="68">
        <v>0.18984000000000004</v>
      </c>
      <c r="AP7" s="68">
        <v>0.19337000000000004</v>
      </c>
      <c r="AQ7" s="68">
        <v>0.19686000000000003</v>
      </c>
      <c r="AR7" s="68">
        <v>0.20033000000000004</v>
      </c>
      <c r="AS7" s="68">
        <v>0.20379000000000003</v>
      </c>
      <c r="AT7" s="68">
        <v>0.20721000000000003</v>
      </c>
      <c r="AU7" s="68">
        <v>0.21059000000000005</v>
      </c>
      <c r="AV7" s="68">
        <v>0.21390000000000006</v>
      </c>
      <c r="AW7" s="68">
        <v>0.21709000000000003</v>
      </c>
      <c r="AX7" s="68">
        <v>0.22014000000000003</v>
      </c>
      <c r="AY7" s="68">
        <v>0.22303000000000003</v>
      </c>
      <c r="AZ7" s="68">
        <v>0.22576000000000004</v>
      </c>
      <c r="BA7" s="68">
        <v>0.22834000000000004</v>
      </c>
      <c r="BB7" s="68">
        <v>0.23081000000000004</v>
      </c>
      <c r="BC7" s="68">
        <v>0.23316000000000003</v>
      </c>
      <c r="BD7" s="68">
        <v>0.23540000000000005</v>
      </c>
      <c r="BE7" s="68"/>
      <c r="BF7" s="68">
        <v>7.0980000000000001E-2</v>
      </c>
      <c r="BG7" s="68">
        <v>7.281E-2</v>
      </c>
      <c r="BH7" s="68">
        <v>7.4690000000000006E-2</v>
      </c>
      <c r="BI7" s="68">
        <v>7.664E-2</v>
      </c>
      <c r="BJ7" s="68">
        <v>7.8640000000000002E-2</v>
      </c>
      <c r="BK7" s="68">
        <v>8.0710000000000004E-2</v>
      </c>
      <c r="BL7" s="68">
        <v>8.2830000000000001E-2</v>
      </c>
      <c r="BM7" s="68">
        <v>8.5019999999999998E-2</v>
      </c>
      <c r="BN7" s="68">
        <v>8.7260000000000004E-2</v>
      </c>
      <c r="BO7" s="68">
        <v>8.9560000000000001E-2</v>
      </c>
      <c r="BP7" s="68">
        <v>9.1920000000000002E-2</v>
      </c>
      <c r="BQ7" s="68">
        <v>9.4339999999999993E-2</v>
      </c>
      <c r="BR7" s="68">
        <v>9.6820000000000003E-2</v>
      </c>
      <c r="BS7" s="68">
        <v>9.9360000000000004E-2</v>
      </c>
      <c r="BT7" s="68">
        <v>0.10196</v>
      </c>
      <c r="BU7" s="70">
        <v>0.10462</v>
      </c>
      <c r="BV7" s="70">
        <v>0.10735</v>
      </c>
      <c r="BW7" s="70">
        <v>0.11012</v>
      </c>
      <c r="BX7" s="70">
        <v>0.11293</v>
      </c>
      <c r="BY7" s="70">
        <v>0.11577999999999999</v>
      </c>
      <c r="BZ7" s="70">
        <v>0.11867</v>
      </c>
      <c r="CA7" s="70">
        <v>0.12157</v>
      </c>
      <c r="CB7" s="70">
        <v>0.12451</v>
      </c>
      <c r="CC7" s="70">
        <v>0.12748000000000001</v>
      </c>
      <c r="CD7" s="70">
        <v>0.13048999999999999</v>
      </c>
      <c r="CE7" s="70">
        <v>0.13353999999999999</v>
      </c>
      <c r="CF7" s="70">
        <v>0.13664999999999999</v>
      </c>
      <c r="CG7" s="70">
        <v>0.13982</v>
      </c>
      <c r="CH7" s="70">
        <v>0.14305000000000001</v>
      </c>
      <c r="CI7" s="70">
        <v>0.14634</v>
      </c>
      <c r="CJ7" s="70">
        <v>0.14967</v>
      </c>
      <c r="CK7" s="70">
        <v>0.15306</v>
      </c>
      <c r="CL7" s="70">
        <v>0.15648999999999999</v>
      </c>
      <c r="CM7" s="70">
        <v>0.15995000000000001</v>
      </c>
      <c r="CN7" s="70">
        <v>0.16344</v>
      </c>
      <c r="CO7" s="70">
        <v>0.16694999999999999</v>
      </c>
      <c r="CP7" s="70">
        <v>0.17050000000000001</v>
      </c>
      <c r="CQ7" s="70">
        <v>0.1741</v>
      </c>
      <c r="CR7" s="70">
        <v>0.17776</v>
      </c>
      <c r="CS7" s="70">
        <v>0.18151</v>
      </c>
      <c r="CT7" s="70">
        <v>0.18537000000000001</v>
      </c>
      <c r="CU7" s="70">
        <v>0.18931000000000001</v>
      </c>
      <c r="CV7" s="70">
        <v>0.19331000000000001</v>
      </c>
      <c r="CW7" s="70">
        <v>0.19732</v>
      </c>
      <c r="CX7" s="70">
        <v>0.20127</v>
      </c>
      <c r="CY7" s="70">
        <v>0.20513000000000001</v>
      </c>
      <c r="CZ7" s="70">
        <v>0.20888000000000001</v>
      </c>
      <c r="DA7" s="70">
        <v>0.21251999999999999</v>
      </c>
      <c r="DB7" s="70">
        <v>0.21611</v>
      </c>
      <c r="DC7" s="70">
        <v>0.21970999999999999</v>
      </c>
      <c r="DD7" s="70">
        <v>0.22334999999999999</v>
      </c>
      <c r="DE7" s="70">
        <v>0.22703000000000001</v>
      </c>
    </row>
    <row r="8" spans="1:109" ht="21" x14ac:dyDescent="0.4">
      <c r="A8" s="65">
        <f>A7*(1+Simulador!$G$3)</f>
        <v>647.81285132053426</v>
      </c>
      <c r="B8" s="66"/>
      <c r="C8" s="66"/>
      <c r="D8" s="61">
        <v>8</v>
      </c>
      <c r="E8" s="67">
        <v>0.11283</v>
      </c>
      <c r="F8" s="67">
        <v>0.11547</v>
      </c>
      <c r="G8" s="67">
        <v>0.11824999999999999</v>
      </c>
      <c r="H8" s="67">
        <v>0.12117</v>
      </c>
      <c r="I8" s="67">
        <v>0.12422999999999999</v>
      </c>
      <c r="J8" s="67">
        <v>0.12742999999999999</v>
      </c>
      <c r="K8" s="67">
        <v>0.13075999999999999</v>
      </c>
      <c r="L8" s="67">
        <v>0.13421</v>
      </c>
      <c r="M8" s="67">
        <v>0.13778000000000001</v>
      </c>
      <c r="N8" s="67">
        <v>0.14144000000000001</v>
      </c>
      <c r="O8" s="67">
        <v>0.1452</v>
      </c>
      <c r="P8" s="67">
        <v>0.14904999999999999</v>
      </c>
      <c r="Q8" s="67">
        <v>0.15298</v>
      </c>
      <c r="R8" s="67">
        <v>0.157</v>
      </c>
      <c r="S8" s="67">
        <v>0.16109000000000001</v>
      </c>
      <c r="T8" s="67">
        <v>0.16527000000000006</v>
      </c>
      <c r="U8" s="67">
        <v>0.16951000000000005</v>
      </c>
      <c r="V8" s="67">
        <v>0.17382000000000003</v>
      </c>
      <c r="W8" s="67">
        <v>0.17821000000000004</v>
      </c>
      <c r="X8" s="68">
        <v>0.18265000000000003</v>
      </c>
      <c r="Y8" s="68">
        <v>0.18716000000000005</v>
      </c>
      <c r="Z8" s="68">
        <v>0.19171000000000005</v>
      </c>
      <c r="AA8" s="68">
        <v>0.19633000000000006</v>
      </c>
      <c r="AB8" s="68">
        <v>0.20099000000000003</v>
      </c>
      <c r="AC8" s="68">
        <v>0.20572000000000004</v>
      </c>
      <c r="AD8" s="68">
        <v>0.21050000000000005</v>
      </c>
      <c r="AE8" s="69">
        <v>0.21533000000000005</v>
      </c>
      <c r="AF8" s="68">
        <v>0.22022000000000005</v>
      </c>
      <c r="AG8" s="68">
        <v>0.22518000000000005</v>
      </c>
      <c r="AH8" s="68">
        <v>0.23019000000000003</v>
      </c>
      <c r="AI8" s="68">
        <v>0.23525000000000007</v>
      </c>
      <c r="AJ8" s="68">
        <v>0.24033000000000004</v>
      </c>
      <c r="AK8" s="68">
        <v>0.24544000000000005</v>
      </c>
      <c r="AL8" s="68">
        <v>0.25054000000000004</v>
      </c>
      <c r="AM8" s="68">
        <v>0.25563000000000008</v>
      </c>
      <c r="AN8" s="68">
        <v>0.26068000000000008</v>
      </c>
      <c r="AO8" s="68">
        <v>0.2657000000000001</v>
      </c>
      <c r="AP8" s="68">
        <v>0.2706900000000001</v>
      </c>
      <c r="AQ8" s="68">
        <v>0.27565000000000006</v>
      </c>
      <c r="AR8" s="68">
        <v>0.28059000000000006</v>
      </c>
      <c r="AS8" s="68">
        <v>0.28550000000000009</v>
      </c>
      <c r="AT8" s="68">
        <v>0.29036000000000006</v>
      </c>
      <c r="AU8" s="68">
        <v>0.29514000000000007</v>
      </c>
      <c r="AV8" s="68">
        <v>0.29980000000000007</v>
      </c>
      <c r="AW8" s="68">
        <v>0.30432000000000009</v>
      </c>
      <c r="AX8" s="68">
        <v>0.30867000000000011</v>
      </c>
      <c r="AY8" s="68">
        <v>0.31285000000000007</v>
      </c>
      <c r="AZ8" s="68">
        <v>0.31685000000000008</v>
      </c>
      <c r="BA8" s="68">
        <v>0.32070000000000004</v>
      </c>
      <c r="BB8" s="68">
        <v>0.32439000000000007</v>
      </c>
      <c r="BC8" s="68">
        <v>0.32790000000000008</v>
      </c>
      <c r="BD8" s="68">
        <v>0.33120000000000005</v>
      </c>
      <c r="BE8" s="68"/>
      <c r="BF8" s="68">
        <v>9.9349999999999994E-2</v>
      </c>
      <c r="BG8" s="68">
        <v>0.10192</v>
      </c>
      <c r="BH8" s="68">
        <v>0.10457</v>
      </c>
      <c r="BI8" s="68">
        <v>0.10731</v>
      </c>
      <c r="BJ8" s="68">
        <v>0.11011</v>
      </c>
      <c r="BK8" s="68">
        <v>0.11301</v>
      </c>
      <c r="BL8" s="68">
        <v>0.11599</v>
      </c>
      <c r="BM8" s="68">
        <v>0.11904000000000001</v>
      </c>
      <c r="BN8" s="68">
        <v>0.12218</v>
      </c>
      <c r="BO8" s="68">
        <v>0.12540000000000001</v>
      </c>
      <c r="BP8" s="68">
        <v>0.12869</v>
      </c>
      <c r="BQ8" s="68">
        <v>0.13208</v>
      </c>
      <c r="BR8" s="68">
        <v>0.13555</v>
      </c>
      <c r="BS8" s="68">
        <v>0.1391</v>
      </c>
      <c r="BT8" s="68">
        <v>0.14273</v>
      </c>
      <c r="BU8" s="70">
        <v>0.14645</v>
      </c>
      <c r="BV8" s="70">
        <v>0.15024000000000001</v>
      </c>
      <c r="BW8" s="70">
        <v>0.15409999999999999</v>
      </c>
      <c r="BX8" s="70">
        <v>0.15801000000000001</v>
      </c>
      <c r="BY8" s="70">
        <v>0.16198000000000001</v>
      </c>
      <c r="BZ8" s="70">
        <v>0.16599</v>
      </c>
      <c r="CA8" s="70">
        <v>0.17004</v>
      </c>
      <c r="CB8" s="70">
        <v>0.17415</v>
      </c>
      <c r="CC8" s="70">
        <v>0.17831</v>
      </c>
      <c r="CD8" s="70">
        <v>0.18254000000000001</v>
      </c>
      <c r="CE8" s="70">
        <v>0.18684000000000001</v>
      </c>
      <c r="CF8" s="70">
        <v>0.19122</v>
      </c>
      <c r="CG8" s="70">
        <v>0.19567999999999999</v>
      </c>
      <c r="CH8" s="70">
        <v>0.20021</v>
      </c>
      <c r="CI8" s="70">
        <v>0.20482</v>
      </c>
      <c r="CJ8" s="70">
        <v>0.20949999999999999</v>
      </c>
      <c r="CK8" s="70">
        <v>0.21425</v>
      </c>
      <c r="CL8" s="70">
        <v>0.21904999999999999</v>
      </c>
      <c r="CM8" s="70">
        <v>0.22389000000000001</v>
      </c>
      <c r="CN8" s="70">
        <v>0.22878000000000001</v>
      </c>
      <c r="CO8" s="70">
        <v>0.23372999999999999</v>
      </c>
      <c r="CP8" s="70">
        <v>0.23874999999999999</v>
      </c>
      <c r="CQ8" s="70">
        <v>0.24385999999999999</v>
      </c>
      <c r="CR8" s="70">
        <v>0.24908</v>
      </c>
      <c r="CS8" s="70">
        <v>0.25441999999999998</v>
      </c>
      <c r="CT8" s="70">
        <v>0.25985999999999998</v>
      </c>
      <c r="CU8" s="70">
        <v>0.26538</v>
      </c>
      <c r="CV8" s="70">
        <v>0.27093</v>
      </c>
      <c r="CW8" s="70">
        <v>0.27645999999999998</v>
      </c>
      <c r="CX8" s="70">
        <v>0.28190999999999999</v>
      </c>
      <c r="CY8" s="70">
        <v>0.28727999999999998</v>
      </c>
      <c r="CZ8" s="70">
        <v>0.29255999999999999</v>
      </c>
      <c r="DA8" s="70">
        <v>0.29779</v>
      </c>
      <c r="DB8" s="70">
        <v>0.30299999999999999</v>
      </c>
      <c r="DC8" s="70">
        <v>0.30821999999999999</v>
      </c>
      <c r="DD8" s="70">
        <v>0.31345000000000001</v>
      </c>
      <c r="DE8" s="70">
        <v>0.31864999999999999</v>
      </c>
    </row>
    <row r="9" spans="1:109" ht="21" x14ac:dyDescent="0.4">
      <c r="A9" s="65">
        <f>A8*(1+Simulador!$G$3)</f>
        <v>683.44255814316364</v>
      </c>
      <c r="B9" s="66"/>
      <c r="C9" s="66"/>
      <c r="D9" s="61">
        <v>9</v>
      </c>
      <c r="E9" s="67">
        <v>0.15104999999999999</v>
      </c>
      <c r="F9" s="67">
        <v>0.15468000000000001</v>
      </c>
      <c r="G9" s="67">
        <v>0.158245</v>
      </c>
      <c r="H9" s="67">
        <v>0.16244</v>
      </c>
      <c r="I9" s="67">
        <v>0.16658000000000001</v>
      </c>
      <c r="J9" s="67">
        <v>0.17088</v>
      </c>
      <c r="K9" s="67">
        <v>0.17534</v>
      </c>
      <c r="L9" s="67">
        <v>0.17995</v>
      </c>
      <c r="M9" s="67">
        <v>0.1847</v>
      </c>
      <c r="N9" s="67">
        <v>0.18958</v>
      </c>
      <c r="O9" s="67">
        <v>0.19458</v>
      </c>
      <c r="P9" s="67">
        <v>0.19969999999999999</v>
      </c>
      <c r="Q9" s="67">
        <v>0.20493</v>
      </c>
      <c r="R9" s="67">
        <v>0.21027999999999999</v>
      </c>
      <c r="S9" s="67">
        <v>0.21573000000000001</v>
      </c>
      <c r="T9" s="67">
        <v>0.22128000000000006</v>
      </c>
      <c r="U9" s="67">
        <v>0.22689999999999999</v>
      </c>
      <c r="V9" s="67">
        <v>0.23270000000000007</v>
      </c>
      <c r="W9" s="67">
        <v>0.23854000000000006</v>
      </c>
      <c r="X9" s="68">
        <v>0.24446000000000009</v>
      </c>
      <c r="Y9" s="68">
        <v>0.25047000000000008</v>
      </c>
      <c r="Z9" s="68">
        <v>0.25656000000000012</v>
      </c>
      <c r="AA9" s="68">
        <v>0.26273000000000007</v>
      </c>
      <c r="AB9" s="68">
        <v>0.26898000000000011</v>
      </c>
      <c r="AC9" s="68">
        <v>0.27532000000000006</v>
      </c>
      <c r="AD9" s="68">
        <v>0.28173000000000009</v>
      </c>
      <c r="AE9" s="69">
        <v>0.28822000000000009</v>
      </c>
      <c r="AF9" s="68">
        <v>0.29480000000000012</v>
      </c>
      <c r="AG9" s="68">
        <v>0.30146000000000012</v>
      </c>
      <c r="AH9" s="68">
        <v>0.30819000000000013</v>
      </c>
      <c r="AI9" s="68">
        <v>0.31497000000000008</v>
      </c>
      <c r="AJ9" s="68">
        <v>0.32178000000000012</v>
      </c>
      <c r="AK9" s="68">
        <v>0.32861000000000012</v>
      </c>
      <c r="AL9" s="68">
        <v>0.33545000000000014</v>
      </c>
      <c r="AM9" s="68">
        <v>0.34227000000000013</v>
      </c>
      <c r="AN9" s="68">
        <v>0.34908000000000011</v>
      </c>
      <c r="AO9" s="68">
        <v>0.35588000000000014</v>
      </c>
      <c r="AP9" s="68">
        <v>0.36266000000000009</v>
      </c>
      <c r="AQ9" s="68">
        <v>0.36942000000000014</v>
      </c>
      <c r="AR9" s="68">
        <v>0.37614999999999998</v>
      </c>
      <c r="AS9" s="68">
        <v>0.38283000000000011</v>
      </c>
      <c r="AT9" s="68">
        <v>0.38943000000000016</v>
      </c>
      <c r="AU9" s="68">
        <v>0.39593000000000017</v>
      </c>
      <c r="AV9" s="68">
        <v>0.40229000000000015</v>
      </c>
      <c r="AW9" s="68">
        <v>0.40849000000000013</v>
      </c>
      <c r="AX9" s="68">
        <v>0.41452000000000011</v>
      </c>
      <c r="AY9" s="68">
        <v>0.42038000000000014</v>
      </c>
      <c r="AZ9" s="68">
        <v>0.42607000000000012</v>
      </c>
      <c r="BA9" s="68">
        <v>0.43158000000000013</v>
      </c>
      <c r="BB9" s="68">
        <v>0.43688000000000021</v>
      </c>
      <c r="BC9" s="68">
        <v>0.4419300000000001</v>
      </c>
      <c r="BD9" s="68">
        <v>0.44666000000000011</v>
      </c>
      <c r="BE9" s="68"/>
      <c r="BF9" s="68">
        <v>0.13302</v>
      </c>
      <c r="BG9" s="68">
        <v>0.13647999999999999</v>
      </c>
      <c r="BH9" s="68">
        <v>0.14004</v>
      </c>
      <c r="BI9" s="68">
        <v>0.14369999999999999</v>
      </c>
      <c r="BJ9" s="68">
        <v>0.14746999999999999</v>
      </c>
      <c r="BK9" s="68">
        <v>0.15135000000000001</v>
      </c>
      <c r="BL9" s="68">
        <v>0.15533</v>
      </c>
      <c r="BM9" s="68">
        <v>0.15942000000000001</v>
      </c>
      <c r="BN9" s="68">
        <v>0.16361999999999999</v>
      </c>
      <c r="BO9" s="68">
        <v>0.16792000000000001</v>
      </c>
      <c r="BP9" s="68">
        <v>0.17233999999999999</v>
      </c>
      <c r="BQ9" s="68">
        <v>0.17687</v>
      </c>
      <c r="BR9" s="68">
        <v>0.18149999999999999</v>
      </c>
      <c r="BS9" s="68">
        <v>0.18625</v>
      </c>
      <c r="BT9" s="68">
        <v>0.19111</v>
      </c>
      <c r="BU9" s="70">
        <v>0.19606999999999999</v>
      </c>
      <c r="BV9" s="70">
        <v>0.20111999999999999</v>
      </c>
      <c r="BW9" s="70">
        <v>0.20624999999999999</v>
      </c>
      <c r="BX9" s="70">
        <v>0.21146000000000001</v>
      </c>
      <c r="BY9" s="70">
        <v>0.21673999999999999</v>
      </c>
      <c r="BZ9" s="70">
        <v>0.22209000000000001</v>
      </c>
      <c r="CA9" s="70">
        <v>0.22750999999999999</v>
      </c>
      <c r="CB9" s="70">
        <v>0.23300999999999999</v>
      </c>
      <c r="CC9" s="70">
        <v>0.23860000000000001</v>
      </c>
      <c r="CD9" s="70">
        <v>0.24429000000000001</v>
      </c>
      <c r="CE9" s="70">
        <v>0.25008000000000002</v>
      </c>
      <c r="CF9" s="70">
        <v>0.25596000000000002</v>
      </c>
      <c r="CG9" s="70">
        <v>0.26195000000000002</v>
      </c>
      <c r="CH9" s="70">
        <v>0.26804</v>
      </c>
      <c r="CI9" s="70">
        <v>0.27422999999999997</v>
      </c>
      <c r="CJ9" s="70">
        <v>0.28050999999999998</v>
      </c>
      <c r="CK9" s="70">
        <v>0.28687000000000001</v>
      </c>
      <c r="CL9" s="70">
        <v>0.29330000000000001</v>
      </c>
      <c r="CM9" s="70">
        <v>0.29981000000000002</v>
      </c>
      <c r="CN9" s="70">
        <v>0.30641000000000002</v>
      </c>
      <c r="CO9" s="70">
        <v>0.31309999999999999</v>
      </c>
      <c r="CP9" s="70">
        <v>0.31991000000000003</v>
      </c>
      <c r="CQ9" s="70">
        <v>0.32685999999999998</v>
      </c>
      <c r="CR9" s="70">
        <v>3.3349999999999998E-2</v>
      </c>
      <c r="CS9" s="70">
        <v>0.34116999999999997</v>
      </c>
      <c r="CT9" s="70">
        <v>0.34849000000000002</v>
      </c>
      <c r="CU9" s="70">
        <v>0.35586000000000001</v>
      </c>
      <c r="CV9" s="70">
        <v>0.36323</v>
      </c>
      <c r="CW9" s="70">
        <v>0.37056</v>
      </c>
      <c r="CX9" s="70">
        <v>0.37785000000000002</v>
      </c>
      <c r="CY9" s="70">
        <v>0.38508999999999999</v>
      </c>
      <c r="CZ9" s="70">
        <v>0.39230999999999999</v>
      </c>
      <c r="DA9" s="70">
        <v>0.39951999999999999</v>
      </c>
      <c r="DB9" s="70">
        <v>0.40672999999999998</v>
      </c>
      <c r="DC9" s="70">
        <v>0.41393000000000002</v>
      </c>
      <c r="DD9" s="70">
        <v>0.42108000000000001</v>
      </c>
      <c r="DE9" s="70">
        <v>0.42809000000000003</v>
      </c>
    </row>
    <row r="10" spans="1:109" ht="21" x14ac:dyDescent="0.4">
      <c r="A10" s="65">
        <f>A9*(1+Simulador!$G$3)</f>
        <v>721.03189884103756</v>
      </c>
      <c r="B10" s="66"/>
      <c r="C10" s="66"/>
      <c r="D10" s="61">
        <v>10</v>
      </c>
      <c r="E10" s="67">
        <v>0.19561000000000001</v>
      </c>
      <c r="F10" s="67">
        <v>0.20039999999999999</v>
      </c>
      <c r="G10" s="67">
        <v>0.20538999999999999</v>
      </c>
      <c r="H10" s="67">
        <v>0.21059</v>
      </c>
      <c r="I10" s="67">
        <v>0.21598000000000001</v>
      </c>
      <c r="J10" s="67">
        <v>0.22156000000000001</v>
      </c>
      <c r="K10" s="67">
        <v>0.22733</v>
      </c>
      <c r="L10" s="67">
        <v>0.23327999999999999</v>
      </c>
      <c r="M10" s="67">
        <v>0.23938999999999999</v>
      </c>
      <c r="N10" s="67">
        <v>0.24567</v>
      </c>
      <c r="O10" s="67">
        <v>0.25209999999999999</v>
      </c>
      <c r="P10" s="67">
        <v>0.25868999999999998</v>
      </c>
      <c r="Q10" s="67">
        <v>0.26543</v>
      </c>
      <c r="R10" s="67">
        <v>0.27232000000000001</v>
      </c>
      <c r="S10" s="67">
        <v>0.27933999999999998</v>
      </c>
      <c r="T10" s="67">
        <v>0.28650000000000003</v>
      </c>
      <c r="U10" s="67">
        <v>0.29379000000000005</v>
      </c>
      <c r="V10" s="67">
        <v>0.30121000000000003</v>
      </c>
      <c r="W10" s="67">
        <v>0.30874000000000001</v>
      </c>
      <c r="X10" s="68">
        <v>0.31639000000000006</v>
      </c>
      <c r="Y10" s="68">
        <v>0.32416000000000006</v>
      </c>
      <c r="Z10" s="68">
        <v>0.33203000000000005</v>
      </c>
      <c r="AA10" s="68">
        <v>0.34002000000000004</v>
      </c>
      <c r="AB10" s="68">
        <v>0.34813000000000005</v>
      </c>
      <c r="AC10" s="68">
        <v>0.35634000000000005</v>
      </c>
      <c r="AD10" s="68">
        <v>0.36468000000000006</v>
      </c>
      <c r="AE10" s="69">
        <v>0.37312000000000001</v>
      </c>
      <c r="AF10" s="68">
        <v>0.38168000000000007</v>
      </c>
      <c r="AG10" s="68">
        <v>0.39033000000000007</v>
      </c>
      <c r="AH10" s="68">
        <v>0.39906000000000003</v>
      </c>
      <c r="AI10" s="68">
        <v>0.40785000000000005</v>
      </c>
      <c r="AJ10" s="68">
        <v>0.41669000000000006</v>
      </c>
      <c r="AK10" s="68">
        <v>0.42556000000000005</v>
      </c>
      <c r="AL10" s="68">
        <v>0.43444000000000005</v>
      </c>
      <c r="AM10" s="68">
        <v>0.44334000000000007</v>
      </c>
      <c r="AN10" s="68">
        <v>0.45226000000000005</v>
      </c>
      <c r="AO10" s="68">
        <v>0.4611900000000001</v>
      </c>
      <c r="AP10" s="68">
        <v>0.37012000000000006</v>
      </c>
      <c r="AQ10" s="68">
        <v>0.47904000000000002</v>
      </c>
      <c r="AR10" s="68">
        <v>0.48793000000000009</v>
      </c>
      <c r="AS10" s="68">
        <v>0.49675000000000002</v>
      </c>
      <c r="AT10" s="68">
        <v>0.50548000000000004</v>
      </c>
      <c r="AU10" s="68">
        <v>0.51408000000000009</v>
      </c>
      <c r="AV10" s="68">
        <v>0.52256000000000014</v>
      </c>
      <c r="AW10" s="68">
        <v>0.53090000000000004</v>
      </c>
      <c r="AX10" s="68">
        <v>0.53910000000000002</v>
      </c>
      <c r="AY10" s="68">
        <v>0.54716000000000009</v>
      </c>
      <c r="AZ10" s="68">
        <v>0.55505000000000004</v>
      </c>
      <c r="BA10" s="68">
        <v>0.56274000000000002</v>
      </c>
      <c r="BB10" s="68">
        <v>0.57017000000000007</v>
      </c>
      <c r="BC10" s="68">
        <v>0.57728000000000013</v>
      </c>
      <c r="BD10" s="68">
        <v>0.58402000000000009</v>
      </c>
      <c r="BE10" s="68"/>
      <c r="BF10" s="68">
        <v>0.17222000000000001</v>
      </c>
      <c r="BG10" s="68">
        <v>0.17671999999999999</v>
      </c>
      <c r="BH10" s="68">
        <v>0.18134</v>
      </c>
      <c r="BI10" s="68">
        <v>0.18609000000000001</v>
      </c>
      <c r="BJ10" s="68">
        <v>0.19098000000000001</v>
      </c>
      <c r="BK10" s="68">
        <v>0.19600000000000001</v>
      </c>
      <c r="BL10" s="68">
        <v>0.20115</v>
      </c>
      <c r="BM10" s="68">
        <v>0.20644000000000001</v>
      </c>
      <c r="BN10" s="68">
        <v>0.21187</v>
      </c>
      <c r="BO10" s="68">
        <v>0.21743999999999999</v>
      </c>
      <c r="BP10" s="68">
        <v>0.22316</v>
      </c>
      <c r="BQ10" s="68">
        <v>0.22900999999999999</v>
      </c>
      <c r="BR10" s="68">
        <v>0.23501</v>
      </c>
      <c r="BS10" s="68">
        <v>0.24115</v>
      </c>
      <c r="BT10" s="68">
        <v>0.24742</v>
      </c>
      <c r="BU10" s="70">
        <v>0.25380999999999998</v>
      </c>
      <c r="BV10" s="70">
        <v>0.26030999999999999</v>
      </c>
      <c r="BW10" s="70">
        <v>0.26690999999999998</v>
      </c>
      <c r="BX10" s="70">
        <v>0.27361999999999997</v>
      </c>
      <c r="BY10" s="70">
        <v>0.28043000000000001</v>
      </c>
      <c r="BZ10" s="70">
        <v>0.28733999999999998</v>
      </c>
      <c r="CA10" s="70">
        <v>0.29437000000000002</v>
      </c>
      <c r="CB10" s="70">
        <v>0.30151</v>
      </c>
      <c r="CC10" s="70">
        <v>0.30876999999999999</v>
      </c>
      <c r="CD10" s="70">
        <v>0.31617000000000001</v>
      </c>
      <c r="CE10" s="70">
        <v>0.32369999999999999</v>
      </c>
      <c r="CF10" s="70">
        <v>0.33134999999999998</v>
      </c>
      <c r="CG10" s="70">
        <v>0.33914</v>
      </c>
      <c r="CH10" s="70">
        <v>0.34705000000000003</v>
      </c>
      <c r="CI10" s="70">
        <v>0.35508000000000001</v>
      </c>
      <c r="CJ10" s="70">
        <v>0.36323</v>
      </c>
      <c r="CK10" s="70">
        <v>0.37147999999999998</v>
      </c>
      <c r="CL10" s="70">
        <v>0.37984000000000001</v>
      </c>
      <c r="CM10" s="70">
        <v>0.38832</v>
      </c>
      <c r="CN10" s="70">
        <v>0.39693000000000001</v>
      </c>
      <c r="CO10" s="70">
        <v>0.40571000000000002</v>
      </c>
      <c r="CP10" s="70">
        <v>0.41465999999999997</v>
      </c>
      <c r="CQ10" s="70">
        <v>0.42379</v>
      </c>
      <c r="CR10" s="70">
        <v>0.43307000000000001</v>
      </c>
      <c r="CS10" s="70">
        <v>0.44248999999999999</v>
      </c>
      <c r="CT10" s="70">
        <v>0.45196999999999998</v>
      </c>
      <c r="CU10" s="70">
        <v>0.46148</v>
      </c>
      <c r="CV10" s="70">
        <v>0.47099999999999997</v>
      </c>
      <c r="CW10" s="70">
        <v>0.48052</v>
      </c>
      <c r="CX10" s="70">
        <v>0.49003000000000002</v>
      </c>
      <c r="CY10" s="70">
        <v>0.49958000000000002</v>
      </c>
      <c r="CZ10" s="70">
        <v>0.50917999999999997</v>
      </c>
      <c r="DA10" s="70">
        <v>0.51880999999999999</v>
      </c>
      <c r="DB10" s="70">
        <v>0.52844999999999998</v>
      </c>
      <c r="DC10" s="70">
        <v>0.53803000000000001</v>
      </c>
      <c r="DD10" s="70">
        <v>0.54747000000000001</v>
      </c>
      <c r="DE10" s="70">
        <v>0.55669999999999997</v>
      </c>
    </row>
    <row r="11" spans="1:109" ht="21" x14ac:dyDescent="0.4">
      <c r="A11" s="65">
        <f>A10*(1+Simulador!$G$3)</f>
        <v>760.68865327729463</v>
      </c>
      <c r="B11" s="66"/>
      <c r="C11" s="66"/>
      <c r="D11" s="61">
        <v>11</v>
      </c>
      <c r="E11" s="67">
        <v>0.25979999999999998</v>
      </c>
      <c r="F11" s="67">
        <v>0.26627000000000001</v>
      </c>
      <c r="G11" s="67">
        <v>0.27299000000000001</v>
      </c>
      <c r="H11" s="67">
        <v>0.27994000000000002</v>
      </c>
      <c r="I11" s="67">
        <v>0.28711999999999999</v>
      </c>
      <c r="J11" s="67">
        <v>0.29453000000000001</v>
      </c>
      <c r="K11" s="67">
        <v>0.30215999999999998</v>
      </c>
      <c r="L11" s="67">
        <v>0.31002000000000002</v>
      </c>
      <c r="M11" s="67">
        <v>0.31809999999999999</v>
      </c>
      <c r="N11" s="67">
        <v>0.32638</v>
      </c>
      <c r="O11" s="67">
        <v>0.33487</v>
      </c>
      <c r="P11" s="67">
        <v>0.34356999999999999</v>
      </c>
      <c r="Q11" s="67">
        <v>0.35248000000000002</v>
      </c>
      <c r="R11" s="67">
        <v>0.36157</v>
      </c>
      <c r="S11" s="67">
        <v>0.37085000000000001</v>
      </c>
      <c r="T11" s="67">
        <v>0.38031000000000004</v>
      </c>
      <c r="U11" s="67">
        <v>0.38995000000000002</v>
      </c>
      <c r="V11" s="67">
        <v>0.39976</v>
      </c>
      <c r="W11" s="67">
        <v>0.40973999999999999</v>
      </c>
      <c r="X11" s="68">
        <v>0.41988000000000003</v>
      </c>
      <c r="Y11" s="68">
        <v>0.43018000000000006</v>
      </c>
      <c r="Z11" s="68">
        <v>0.43018000000000006</v>
      </c>
      <c r="AA11" s="68">
        <v>0.45126000000000005</v>
      </c>
      <c r="AB11" s="68">
        <v>0.46204000000000001</v>
      </c>
      <c r="AC11" s="68">
        <v>0.47299000000000002</v>
      </c>
      <c r="AD11" s="68">
        <v>0.48410000000000009</v>
      </c>
      <c r="AE11" s="69">
        <v>0.49536000000000002</v>
      </c>
      <c r="AF11" s="68">
        <v>0.50677000000000005</v>
      </c>
      <c r="AG11" s="68">
        <v>0.51830000000000009</v>
      </c>
      <c r="AH11" s="68">
        <v>0.52993000000000012</v>
      </c>
      <c r="AI11" s="68">
        <v>0.54165000000000008</v>
      </c>
      <c r="AJ11" s="68">
        <v>0.55342999999999998</v>
      </c>
      <c r="AK11" s="68">
        <v>0.56525999999999998</v>
      </c>
      <c r="AL11" s="68">
        <v>0.57716000000000001</v>
      </c>
      <c r="AM11" s="68">
        <v>0.58912000000000009</v>
      </c>
      <c r="AN11" s="68">
        <v>0.60114000000000012</v>
      </c>
      <c r="AO11" s="68">
        <v>0.61320000000000008</v>
      </c>
      <c r="AP11" s="68">
        <v>0.62531000000000003</v>
      </c>
      <c r="AQ11" s="68">
        <v>0.63741000000000003</v>
      </c>
      <c r="AR11" s="68">
        <v>0.64948000000000006</v>
      </c>
      <c r="AS11" s="68">
        <v>0.66148000000000007</v>
      </c>
      <c r="AT11" s="68">
        <v>0.6734</v>
      </c>
      <c r="AU11" s="68">
        <v>0.68522000000000005</v>
      </c>
      <c r="AV11" s="68">
        <v>0.69695000000000007</v>
      </c>
      <c r="AW11" s="68">
        <v>0.70860000000000012</v>
      </c>
      <c r="AX11" s="68">
        <v>0.72016000000000002</v>
      </c>
      <c r="AY11" s="68">
        <v>0.73162000000000005</v>
      </c>
      <c r="AZ11" s="68">
        <v>0.74293000000000009</v>
      </c>
      <c r="BA11" s="68">
        <v>0.75405</v>
      </c>
      <c r="BB11" s="68">
        <v>0.76489000000000007</v>
      </c>
      <c r="BC11" s="68">
        <v>0.77541000000000004</v>
      </c>
      <c r="BD11" s="68">
        <v>0.78556999999999999</v>
      </c>
      <c r="BE11" s="68"/>
      <c r="BF11" s="68">
        <v>0.22864999999999999</v>
      </c>
      <c r="BG11" s="68">
        <v>0.23462</v>
      </c>
      <c r="BH11" s="68">
        <v>0.24077999999999999</v>
      </c>
      <c r="BI11" s="68">
        <v>0.24709</v>
      </c>
      <c r="BJ11" s="68">
        <v>0.25358000000000003</v>
      </c>
      <c r="BK11" s="68">
        <v>0.26024000000000003</v>
      </c>
      <c r="BL11" s="68">
        <v>0.26707999999999998</v>
      </c>
      <c r="BM11" s="68">
        <v>0.27410000000000001</v>
      </c>
      <c r="BN11" s="68">
        <v>0.28129999999999999</v>
      </c>
      <c r="BO11" s="68">
        <v>0.28870000000000001</v>
      </c>
      <c r="BP11" s="68">
        <v>0.29626999999999998</v>
      </c>
      <c r="BQ11" s="68">
        <v>0.30403999999999998</v>
      </c>
      <c r="BR11" s="68">
        <v>0.31198999999999999</v>
      </c>
      <c r="BS11" s="68">
        <v>0.32012000000000002</v>
      </c>
      <c r="BT11" s="68">
        <v>0.32840000000000003</v>
      </c>
      <c r="BU11" s="70">
        <v>0.33683999999999997</v>
      </c>
      <c r="BV11" s="70">
        <v>0.34543000000000001</v>
      </c>
      <c r="BW11" s="70">
        <v>0.35415999999999997</v>
      </c>
      <c r="BX11" s="70">
        <v>0.36303000000000002</v>
      </c>
      <c r="BY11" s="70">
        <v>0.37204999999999999</v>
      </c>
      <c r="BZ11" s="70">
        <v>0.38123000000000001</v>
      </c>
      <c r="CA11" s="70">
        <v>0.39056999999999997</v>
      </c>
      <c r="CB11" s="70">
        <v>0.40007999999999999</v>
      </c>
      <c r="CC11" s="70">
        <v>0.40977000000000002</v>
      </c>
      <c r="CD11" s="70">
        <v>0.41963</v>
      </c>
      <c r="CE11" s="70">
        <v>0.42967</v>
      </c>
      <c r="CF11" s="70">
        <v>0.43986999999999998</v>
      </c>
      <c r="CG11" s="70">
        <v>0.45024999999999998</v>
      </c>
      <c r="CH11" s="70">
        <v>0.46078999999999998</v>
      </c>
      <c r="CI11" s="70">
        <v>0.47149000000000002</v>
      </c>
      <c r="CJ11" s="70">
        <v>0.48232999999999998</v>
      </c>
      <c r="CK11" s="70">
        <v>0.49332999999999999</v>
      </c>
      <c r="CL11" s="70">
        <v>0.50448999999999999</v>
      </c>
      <c r="CM11" s="70">
        <v>0.51585000000000003</v>
      </c>
      <c r="CN11" s="70">
        <v>0.52742999999999995</v>
      </c>
      <c r="CO11" s="70">
        <v>0.53924000000000005</v>
      </c>
      <c r="CP11" s="70">
        <v>0.55128999999999995</v>
      </c>
      <c r="CQ11" s="70">
        <v>0.56355</v>
      </c>
      <c r="CR11" s="70">
        <v>0.57599</v>
      </c>
      <c r="CS11" s="70">
        <v>0.58853999999999995</v>
      </c>
      <c r="CT11" s="70">
        <v>0.60116000000000003</v>
      </c>
      <c r="CU11" s="70">
        <v>0.61382000000000003</v>
      </c>
      <c r="CV11" s="70">
        <v>0.62653000000000003</v>
      </c>
      <c r="CW11" s="70">
        <v>0.63929999999999998</v>
      </c>
      <c r="CX11" s="70">
        <v>0.65217000000000003</v>
      </c>
      <c r="CY11" s="70">
        <v>0.66517000000000004</v>
      </c>
      <c r="CZ11" s="70">
        <v>0.67830000000000001</v>
      </c>
      <c r="DA11" s="70">
        <v>0.6915</v>
      </c>
      <c r="DB11" s="70">
        <v>0.70470999999999995</v>
      </c>
      <c r="DC11" s="70">
        <v>0.71782000000000001</v>
      </c>
      <c r="DD11" s="70">
        <v>0.73073999999999995</v>
      </c>
      <c r="DE11" s="70">
        <v>0.74341000000000002</v>
      </c>
    </row>
    <row r="12" spans="1:109" ht="21" x14ac:dyDescent="0.4">
      <c r="A12" s="66"/>
      <c r="B12" s="66"/>
      <c r="C12" s="66"/>
      <c r="D12" s="61">
        <v>12</v>
      </c>
      <c r="E12" s="67">
        <v>0.26627000000000001</v>
      </c>
      <c r="F12" s="67">
        <v>0.27299000000000001</v>
      </c>
      <c r="G12" s="67">
        <v>0.27994000000000002</v>
      </c>
      <c r="H12" s="67">
        <v>0.28711999999999999</v>
      </c>
      <c r="I12" s="67">
        <v>0.29453000000000001</v>
      </c>
      <c r="J12" s="67">
        <v>0.30215999999999998</v>
      </c>
      <c r="K12" s="67">
        <v>0.31002000000000002</v>
      </c>
      <c r="L12" s="67">
        <v>0.31809999999999999</v>
      </c>
      <c r="M12" s="67">
        <v>0.32638</v>
      </c>
      <c r="N12" s="67">
        <v>0.33487</v>
      </c>
      <c r="O12" s="67">
        <v>0.34356999999999999</v>
      </c>
      <c r="P12" s="67">
        <v>0.35248000000000002</v>
      </c>
      <c r="Q12" s="67">
        <v>0.36157</v>
      </c>
      <c r="R12" s="67">
        <v>0.37085000000000001</v>
      </c>
      <c r="S12" s="67">
        <v>0.38030999999999998</v>
      </c>
      <c r="T12" s="67">
        <v>0.38995000000000007</v>
      </c>
      <c r="U12" s="67">
        <v>0.39976000000000006</v>
      </c>
      <c r="V12" s="67">
        <v>0.4097400000000001</v>
      </c>
      <c r="W12" s="67">
        <v>0.41988000000000014</v>
      </c>
      <c r="X12" s="68">
        <v>0.43018000000000006</v>
      </c>
      <c r="Y12" s="68">
        <v>0.44064000000000009</v>
      </c>
      <c r="Z12" s="68">
        <v>0.45126000000000011</v>
      </c>
      <c r="AA12" s="68">
        <v>0.46204000000000006</v>
      </c>
      <c r="AB12" s="68">
        <v>0.47299000000000008</v>
      </c>
      <c r="AC12" s="68">
        <v>0.48410000000000014</v>
      </c>
      <c r="AD12" s="68">
        <v>0.49536000000000008</v>
      </c>
      <c r="AE12" s="69">
        <v>0.50677000000000005</v>
      </c>
      <c r="AF12" s="68">
        <v>0.51830000000000009</v>
      </c>
      <c r="AG12" s="68">
        <v>0.52993000000000012</v>
      </c>
      <c r="AH12" s="68">
        <v>0.54165000000000019</v>
      </c>
      <c r="AI12" s="68">
        <v>0.55343000000000009</v>
      </c>
      <c r="AJ12" s="68">
        <v>0.5652600000000001</v>
      </c>
      <c r="AK12" s="68">
        <v>0.57716000000000012</v>
      </c>
      <c r="AL12" s="68">
        <v>0.58912000000000009</v>
      </c>
      <c r="AM12" s="68">
        <v>0.60114000000000012</v>
      </c>
      <c r="AN12" s="68">
        <v>0.61320000000000019</v>
      </c>
      <c r="AO12" s="68">
        <v>0.62531000000000014</v>
      </c>
      <c r="AP12" s="68">
        <v>0.63741000000000014</v>
      </c>
      <c r="AQ12" s="68">
        <v>0.64948000000000017</v>
      </c>
      <c r="AR12" s="68">
        <v>0.66148000000000007</v>
      </c>
      <c r="AS12" s="68">
        <v>0.67340000000000011</v>
      </c>
      <c r="AT12" s="68">
        <v>0.68522000000000016</v>
      </c>
      <c r="AU12" s="68">
        <v>0.69695000000000018</v>
      </c>
      <c r="AV12" s="68">
        <v>0.70860000000000012</v>
      </c>
      <c r="AW12" s="68">
        <v>0.72016000000000013</v>
      </c>
      <c r="AX12" s="68">
        <v>0.73162000000000016</v>
      </c>
      <c r="AY12" s="68">
        <v>0.74293000000000009</v>
      </c>
      <c r="AZ12" s="68">
        <v>0.75405000000000022</v>
      </c>
      <c r="BA12" s="68">
        <v>0.76489000000000018</v>
      </c>
      <c r="BB12" s="68">
        <v>0.77541000000000027</v>
      </c>
      <c r="BC12" s="68">
        <v>0.78557000000000021</v>
      </c>
      <c r="BD12" s="68">
        <v>0.7953800000000002</v>
      </c>
      <c r="BE12" s="68"/>
      <c r="BF12" s="68">
        <v>0.23462</v>
      </c>
      <c r="BG12" s="68">
        <v>0.24077999999999999</v>
      </c>
      <c r="BH12" s="68">
        <v>0.24709</v>
      </c>
      <c r="BI12" s="68">
        <v>0.25358000000000003</v>
      </c>
      <c r="BJ12" s="68">
        <v>0.26024000000000003</v>
      </c>
      <c r="BK12" s="68">
        <v>0.26707999999999998</v>
      </c>
      <c r="BL12" s="68">
        <v>0.27410000000000001</v>
      </c>
      <c r="BM12" s="68">
        <v>0.28129999999999999</v>
      </c>
      <c r="BN12" s="68">
        <v>0.28870000000000001</v>
      </c>
      <c r="BO12" s="68">
        <v>0.29626999999999998</v>
      </c>
      <c r="BP12" s="68">
        <v>0.30403999999999998</v>
      </c>
      <c r="BQ12" s="68">
        <v>0.31198999999999999</v>
      </c>
      <c r="BR12" s="68">
        <v>0.32012000000000002</v>
      </c>
      <c r="BS12" s="68">
        <v>0.32840000000000003</v>
      </c>
      <c r="BT12" s="68">
        <v>0.33683999999999997</v>
      </c>
      <c r="BU12" s="70">
        <v>0.34543000000000001</v>
      </c>
      <c r="BV12" s="70">
        <v>0.35415999999999997</v>
      </c>
      <c r="BW12" s="70">
        <v>0.36303000000000002</v>
      </c>
      <c r="BX12" s="70">
        <v>0.37204999999999999</v>
      </c>
      <c r="BY12" s="70">
        <v>0.38123000000000001</v>
      </c>
      <c r="BZ12" s="70">
        <v>0.39056999999999997</v>
      </c>
      <c r="CA12" s="70">
        <v>0.40007999999999999</v>
      </c>
      <c r="CB12" s="70">
        <v>0.40977000000000002</v>
      </c>
      <c r="CC12" s="70">
        <v>0.41963</v>
      </c>
      <c r="CD12" s="70">
        <v>0.42967</v>
      </c>
      <c r="CE12" s="70">
        <v>0.43986999999999998</v>
      </c>
      <c r="CF12" s="70">
        <v>0.45024999999999998</v>
      </c>
      <c r="CG12" s="70">
        <v>0.46078999999999998</v>
      </c>
      <c r="CH12" s="70">
        <v>0.47149000000000002</v>
      </c>
      <c r="CI12" s="70">
        <v>0.48232999999999998</v>
      </c>
      <c r="CJ12" s="70">
        <v>0.49332999999999999</v>
      </c>
      <c r="CK12" s="70">
        <v>0.50448999999999999</v>
      </c>
      <c r="CL12" s="70">
        <v>0.51585000000000003</v>
      </c>
      <c r="CM12" s="70">
        <v>0.52742999999999995</v>
      </c>
      <c r="CN12" s="70">
        <v>0.53924000000000005</v>
      </c>
      <c r="CO12" s="70">
        <v>0.55128999999999995</v>
      </c>
      <c r="CP12" s="70">
        <v>0.56355</v>
      </c>
      <c r="CQ12" s="70">
        <v>0.57599</v>
      </c>
      <c r="CR12" s="70">
        <v>0.58853999999999995</v>
      </c>
      <c r="CS12" s="70">
        <v>0.60116000000000003</v>
      </c>
      <c r="CT12" s="70">
        <v>0.61382000000000003</v>
      </c>
      <c r="CU12" s="70">
        <v>0.62653000000000003</v>
      </c>
      <c r="CV12" s="70">
        <v>0.63929999999999998</v>
      </c>
      <c r="CW12" s="70">
        <v>0.65217000000000003</v>
      </c>
      <c r="CX12" s="70">
        <v>0.66517000000000004</v>
      </c>
      <c r="CY12" s="70">
        <v>0.67830000000000001</v>
      </c>
      <c r="CZ12" s="70">
        <v>0.6915</v>
      </c>
      <c r="DA12" s="70">
        <v>0.70470999999999995</v>
      </c>
      <c r="DB12" s="70">
        <v>0.71782000000000001</v>
      </c>
      <c r="DC12" s="70">
        <v>0.73073999999999995</v>
      </c>
      <c r="DD12" s="70">
        <v>0.74341000000000002</v>
      </c>
      <c r="DE12" s="70">
        <v>0.75580999999999998</v>
      </c>
    </row>
    <row r="13" spans="1:109" ht="21" x14ac:dyDescent="0.4">
      <c r="A13" s="66"/>
      <c r="B13" s="66"/>
      <c r="C13" s="66"/>
      <c r="D13" s="61">
        <v>13</v>
      </c>
      <c r="E13" s="67">
        <v>0.27299000000000001</v>
      </c>
      <c r="F13" s="67">
        <v>0.27994000000000002</v>
      </c>
      <c r="G13" s="67">
        <v>0.28711999999999999</v>
      </c>
      <c r="H13" s="67">
        <v>0.29453000000000001</v>
      </c>
      <c r="I13" s="67">
        <v>0.30215999999999998</v>
      </c>
      <c r="J13" s="67">
        <v>0.31002000000000002</v>
      </c>
      <c r="K13" s="67">
        <v>0.31809999999999999</v>
      </c>
      <c r="L13" s="67">
        <v>0.32638</v>
      </c>
      <c r="M13" s="67">
        <v>0.33487</v>
      </c>
      <c r="N13" s="67">
        <v>0.34356999999999999</v>
      </c>
      <c r="O13" s="67">
        <v>0.35248000000000002</v>
      </c>
      <c r="P13" s="67">
        <v>0.36157</v>
      </c>
      <c r="Q13" s="67">
        <v>0.37085000000000001</v>
      </c>
      <c r="R13" s="67">
        <v>0.38030999999999998</v>
      </c>
      <c r="S13" s="67">
        <v>0.38995000000000002</v>
      </c>
      <c r="T13" s="67">
        <v>0.39976000000000012</v>
      </c>
      <c r="U13" s="67">
        <v>0.40974000000000016</v>
      </c>
      <c r="V13" s="67">
        <v>0.41988000000000009</v>
      </c>
      <c r="W13" s="67">
        <v>0.43018000000000006</v>
      </c>
      <c r="X13" s="68">
        <v>0.44064000000000014</v>
      </c>
      <c r="Y13" s="68">
        <v>0.45126000000000011</v>
      </c>
      <c r="Z13" s="68">
        <v>0.46204000000000012</v>
      </c>
      <c r="AA13" s="68">
        <v>0.47299000000000008</v>
      </c>
      <c r="AB13" s="68">
        <v>0.48410000000000014</v>
      </c>
      <c r="AC13" s="68">
        <v>0.49536000000000008</v>
      </c>
      <c r="AD13" s="68">
        <v>0.50677000000000016</v>
      </c>
      <c r="AE13" s="69">
        <v>0.5183000000000002</v>
      </c>
      <c r="AF13" s="68">
        <v>0.52993000000000012</v>
      </c>
      <c r="AG13" s="68">
        <v>0.54165000000000019</v>
      </c>
      <c r="AH13" s="68">
        <v>0.55343000000000009</v>
      </c>
      <c r="AI13" s="68">
        <v>0.56526000000000021</v>
      </c>
      <c r="AJ13" s="68">
        <v>0.57716000000000012</v>
      </c>
      <c r="AK13" s="68">
        <v>0.5891200000000002</v>
      </c>
      <c r="AL13" s="68">
        <v>0.60114000000000012</v>
      </c>
      <c r="AM13" s="68">
        <v>0.61320000000000019</v>
      </c>
      <c r="AN13" s="68">
        <v>0.62531000000000014</v>
      </c>
      <c r="AO13" s="68">
        <v>0.63741000000000014</v>
      </c>
      <c r="AP13" s="68">
        <v>0.64948000000000017</v>
      </c>
      <c r="AQ13" s="68">
        <v>0.66148000000000018</v>
      </c>
      <c r="AR13" s="68">
        <v>0.67340000000000022</v>
      </c>
      <c r="AS13" s="68">
        <v>0.68522000000000016</v>
      </c>
      <c r="AT13" s="68">
        <v>0.69695000000000018</v>
      </c>
      <c r="AU13" s="68">
        <v>0.70860000000000023</v>
      </c>
      <c r="AV13" s="68">
        <v>0.72016000000000024</v>
      </c>
      <c r="AW13" s="68">
        <v>0.73162000000000016</v>
      </c>
      <c r="AX13" s="68">
        <v>0.7429300000000002</v>
      </c>
      <c r="AY13" s="68">
        <v>0.75405000000000022</v>
      </c>
      <c r="AZ13" s="68">
        <v>0.76489000000000018</v>
      </c>
      <c r="BA13" s="68">
        <v>0.77541000000000015</v>
      </c>
      <c r="BB13" s="68">
        <v>0.78557000000000021</v>
      </c>
      <c r="BC13" s="68">
        <v>0.79538000000000031</v>
      </c>
      <c r="BD13" s="68">
        <v>0.80486000000000024</v>
      </c>
      <c r="BE13" s="68"/>
      <c r="BF13" s="68">
        <v>0.24077999999999999</v>
      </c>
      <c r="BG13" s="68">
        <v>0.24709</v>
      </c>
      <c r="BH13" s="68">
        <v>0.25358000000000003</v>
      </c>
      <c r="BI13" s="68">
        <v>0.26024000000000003</v>
      </c>
      <c r="BJ13" s="68">
        <v>0.26707999999999998</v>
      </c>
      <c r="BK13" s="68">
        <v>0.27410000000000001</v>
      </c>
      <c r="BL13" s="68">
        <v>0.28129999999999999</v>
      </c>
      <c r="BM13" s="68">
        <v>0.28870000000000001</v>
      </c>
      <c r="BN13" s="68">
        <v>0.29626999999999998</v>
      </c>
      <c r="BO13" s="68">
        <v>0.30403999999999998</v>
      </c>
      <c r="BP13" s="68">
        <v>0.31198999999999999</v>
      </c>
      <c r="BQ13" s="68">
        <v>0.32012000000000002</v>
      </c>
      <c r="BR13" s="68">
        <v>0.32840000000000003</v>
      </c>
      <c r="BS13" s="68">
        <v>0.33683999999999997</v>
      </c>
      <c r="BT13" s="68">
        <v>0.34543000000000001</v>
      </c>
      <c r="BU13" s="70">
        <v>0.35415999999999997</v>
      </c>
      <c r="BV13" s="70">
        <v>0.36303000000000002</v>
      </c>
      <c r="BW13" s="70">
        <v>0.37204999999999999</v>
      </c>
      <c r="BX13" s="70">
        <v>0.38123000000000001</v>
      </c>
      <c r="BY13" s="70">
        <v>0.39056999999999997</v>
      </c>
      <c r="BZ13" s="70">
        <v>0.40007999999999999</v>
      </c>
      <c r="CA13" s="70">
        <v>0.40977000000000002</v>
      </c>
      <c r="CB13" s="70">
        <v>0.41963</v>
      </c>
      <c r="CC13" s="70">
        <v>0.42967</v>
      </c>
      <c r="CD13" s="70">
        <v>0.43986999999999998</v>
      </c>
      <c r="CE13" s="70">
        <v>0.45024999999999998</v>
      </c>
      <c r="CF13" s="70">
        <v>0.46078999999999998</v>
      </c>
      <c r="CG13" s="70">
        <v>0.47149000000000002</v>
      </c>
      <c r="CH13" s="70">
        <v>0.48232999999999998</v>
      </c>
      <c r="CI13" s="70">
        <v>0.49332999999999999</v>
      </c>
      <c r="CJ13" s="70">
        <v>0.50448999999999999</v>
      </c>
      <c r="CK13" s="70">
        <v>0.51585000000000003</v>
      </c>
      <c r="CL13" s="70">
        <v>0.52742999999999995</v>
      </c>
      <c r="CM13" s="70">
        <v>0.53924000000000005</v>
      </c>
      <c r="CN13" s="70">
        <v>0.55128999999999995</v>
      </c>
      <c r="CO13" s="70">
        <v>0.56355</v>
      </c>
      <c r="CP13" s="70">
        <v>0.57599</v>
      </c>
      <c r="CQ13" s="70">
        <v>0.58853999999999995</v>
      </c>
      <c r="CR13" s="70">
        <v>0.60116000000000003</v>
      </c>
      <c r="CS13" s="70">
        <v>0.61382000000000003</v>
      </c>
      <c r="CT13" s="70">
        <v>0.62653000000000003</v>
      </c>
      <c r="CU13" s="70">
        <v>0.63929999999999998</v>
      </c>
      <c r="CV13" s="70">
        <v>0.65217000000000003</v>
      </c>
      <c r="CW13" s="70">
        <v>0.66517000000000004</v>
      </c>
      <c r="CX13" s="70">
        <v>0.67830000000000001</v>
      </c>
      <c r="CY13" s="70">
        <v>0.6915</v>
      </c>
      <c r="CZ13" s="70">
        <v>0.70470999999999995</v>
      </c>
      <c r="DA13" s="70">
        <v>0.71782000000000001</v>
      </c>
      <c r="DB13" s="70">
        <v>0.73073999999999995</v>
      </c>
      <c r="DC13" s="70">
        <v>0.74341000000000002</v>
      </c>
      <c r="DD13" s="70">
        <v>0.75580999999999998</v>
      </c>
      <c r="DE13" s="70">
        <v>0.76793999999999996</v>
      </c>
    </row>
    <row r="14" spans="1:109" ht="21" x14ac:dyDescent="0.4">
      <c r="A14" s="66"/>
      <c r="B14" s="66"/>
      <c r="C14" s="66"/>
      <c r="D14" s="61">
        <v>14</v>
      </c>
      <c r="E14" s="67">
        <v>0.27994000000000002</v>
      </c>
      <c r="F14" s="67">
        <v>0.28711999999999999</v>
      </c>
      <c r="G14" s="67">
        <v>0.29453000000000001</v>
      </c>
      <c r="H14" s="67">
        <v>0.30215999999999998</v>
      </c>
      <c r="I14" s="67">
        <v>0.31002000000000002</v>
      </c>
      <c r="J14" s="67">
        <v>0.31809999999999999</v>
      </c>
      <c r="K14" s="67">
        <v>0.32638</v>
      </c>
      <c r="L14" s="67">
        <v>0.33487</v>
      </c>
      <c r="M14" s="67">
        <v>0.34356999999999999</v>
      </c>
      <c r="N14" s="67">
        <v>0.35248000000000002</v>
      </c>
      <c r="O14" s="67">
        <v>0.36157</v>
      </c>
      <c r="P14" s="67">
        <v>0.37085000000000001</v>
      </c>
      <c r="Q14" s="67">
        <v>0.38030999999999998</v>
      </c>
      <c r="R14" s="67">
        <v>0.38995000000000002</v>
      </c>
      <c r="S14" s="67">
        <v>0.39976000000000012</v>
      </c>
      <c r="T14" s="67">
        <v>0.4097400000000001</v>
      </c>
      <c r="U14" s="67">
        <v>0.41988000000000014</v>
      </c>
      <c r="V14" s="67">
        <v>0.43018000000000012</v>
      </c>
      <c r="W14" s="67">
        <v>0.44064000000000009</v>
      </c>
      <c r="X14" s="68">
        <v>0.45126000000000016</v>
      </c>
      <c r="Y14" s="68">
        <v>0.46204000000000012</v>
      </c>
      <c r="Z14" s="68">
        <v>0.47299000000000019</v>
      </c>
      <c r="AA14" s="68">
        <v>0.4841000000000002</v>
      </c>
      <c r="AB14" s="68">
        <v>0.49536000000000013</v>
      </c>
      <c r="AC14" s="68">
        <v>0.50677000000000016</v>
      </c>
      <c r="AD14" s="68">
        <v>0.5183000000000002</v>
      </c>
      <c r="AE14" s="69">
        <v>0.52993000000000023</v>
      </c>
      <c r="AF14" s="68">
        <v>0.54165000000000019</v>
      </c>
      <c r="AG14" s="68">
        <v>0.5534300000000002</v>
      </c>
      <c r="AH14" s="68">
        <v>0.56526000000000021</v>
      </c>
      <c r="AI14" s="68">
        <v>0.57716000000000023</v>
      </c>
      <c r="AJ14" s="68">
        <v>0.5891200000000002</v>
      </c>
      <c r="AK14" s="68">
        <v>0.60114000000000012</v>
      </c>
      <c r="AL14" s="68">
        <v>0.61320000000000019</v>
      </c>
      <c r="AM14" s="68">
        <v>0.62531000000000025</v>
      </c>
      <c r="AN14" s="68">
        <v>0.63741000000000025</v>
      </c>
      <c r="AO14" s="68">
        <v>0.64948000000000017</v>
      </c>
      <c r="AP14" s="68">
        <v>0.66148000000000029</v>
      </c>
      <c r="AQ14" s="68">
        <v>0.67340000000000022</v>
      </c>
      <c r="AR14" s="68">
        <v>0.68522000000000027</v>
      </c>
      <c r="AS14" s="68">
        <v>0.69695000000000029</v>
      </c>
      <c r="AT14" s="68">
        <v>0.70860000000000023</v>
      </c>
      <c r="AU14" s="68">
        <v>0.72016000000000024</v>
      </c>
      <c r="AV14" s="68">
        <v>0.73162000000000016</v>
      </c>
      <c r="AW14" s="68">
        <v>0.74293000000000031</v>
      </c>
      <c r="AX14" s="68">
        <v>0.75405000000000022</v>
      </c>
      <c r="AY14" s="68">
        <v>0.76489000000000018</v>
      </c>
      <c r="AZ14" s="68">
        <v>0.77541000000000015</v>
      </c>
      <c r="BA14" s="68">
        <v>0.78557000000000021</v>
      </c>
      <c r="BB14" s="68">
        <v>0.79538000000000031</v>
      </c>
      <c r="BC14" s="68">
        <v>0.80486000000000035</v>
      </c>
      <c r="BD14" s="68">
        <v>0.81406000000000023</v>
      </c>
      <c r="BE14" s="68"/>
      <c r="BF14" s="68">
        <v>0.24709</v>
      </c>
      <c r="BG14" s="68">
        <v>0.25358000000000003</v>
      </c>
      <c r="BH14" s="68">
        <v>0.26024000000000003</v>
      </c>
      <c r="BI14" s="68">
        <v>0.26707999999999998</v>
      </c>
      <c r="BJ14" s="68">
        <v>0.27410000000000001</v>
      </c>
      <c r="BK14" s="68">
        <v>0.28129999999999999</v>
      </c>
      <c r="BL14" s="68">
        <v>0.28870000000000001</v>
      </c>
      <c r="BM14" s="68">
        <v>0.29626999999999998</v>
      </c>
      <c r="BN14" s="68">
        <v>0.30403999999999998</v>
      </c>
      <c r="BO14" s="68">
        <v>0.31198999999999999</v>
      </c>
      <c r="BP14" s="68">
        <v>0.32012000000000002</v>
      </c>
      <c r="BQ14" s="68">
        <v>0.32840000000000003</v>
      </c>
      <c r="BR14" s="68">
        <v>0.33683999999999997</v>
      </c>
      <c r="BS14" s="68">
        <v>0.34543000000000001</v>
      </c>
      <c r="BT14" s="68">
        <v>0.35415999999999997</v>
      </c>
      <c r="BU14" s="70">
        <v>0.36303000000000002</v>
      </c>
      <c r="BV14" s="70">
        <v>0.37204999999999999</v>
      </c>
      <c r="BW14" s="70">
        <v>0.38123000000000001</v>
      </c>
      <c r="BX14" s="70">
        <v>0.39056999999999997</v>
      </c>
      <c r="BY14" s="70">
        <v>0.40007999999999999</v>
      </c>
      <c r="BZ14" s="70">
        <v>0.40977000000000002</v>
      </c>
      <c r="CA14" s="70">
        <v>0.41963</v>
      </c>
      <c r="CB14" s="70">
        <v>0.42967</v>
      </c>
      <c r="CC14" s="70">
        <v>0.43986999999999998</v>
      </c>
      <c r="CD14" s="70">
        <v>0.45024999999999998</v>
      </c>
      <c r="CE14" s="70">
        <v>0.46078999999999998</v>
      </c>
      <c r="CF14" s="70">
        <v>0.47149000000000002</v>
      </c>
      <c r="CG14" s="70">
        <v>0.48232999999999998</v>
      </c>
      <c r="CH14" s="70">
        <v>0.49332999999999999</v>
      </c>
      <c r="CI14" s="70">
        <v>0.50448999999999999</v>
      </c>
      <c r="CJ14" s="70">
        <v>0.51585000000000003</v>
      </c>
      <c r="CK14" s="70">
        <v>0.52742999999999995</v>
      </c>
      <c r="CL14" s="70">
        <v>0.53924000000000005</v>
      </c>
      <c r="CM14" s="70">
        <v>0.55128999999999995</v>
      </c>
      <c r="CN14" s="70">
        <v>0.56355</v>
      </c>
      <c r="CO14" s="70">
        <v>0.57599</v>
      </c>
      <c r="CP14" s="70">
        <v>0.58853999999999995</v>
      </c>
      <c r="CQ14" s="70">
        <v>0.60116000000000003</v>
      </c>
      <c r="CR14" s="70">
        <v>0.61382000000000003</v>
      </c>
      <c r="CS14" s="70">
        <v>0.62653000000000003</v>
      </c>
      <c r="CT14" s="70">
        <v>0.63929999999999998</v>
      </c>
      <c r="CU14" s="70">
        <v>0.65217000000000003</v>
      </c>
      <c r="CV14" s="70">
        <v>0.66517000000000004</v>
      </c>
      <c r="CW14" s="70">
        <v>0.67830000000000001</v>
      </c>
      <c r="CX14" s="70">
        <v>0.6915</v>
      </c>
      <c r="CY14" s="70">
        <v>0.70470999999999995</v>
      </c>
      <c r="CZ14" s="70">
        <v>0.71782000000000001</v>
      </c>
      <c r="DA14" s="70">
        <v>0.73073999999999995</v>
      </c>
      <c r="DB14" s="70">
        <v>0.74341000000000002</v>
      </c>
      <c r="DC14" s="70">
        <v>0.75580999999999998</v>
      </c>
      <c r="DD14" s="70">
        <v>0.76793999999999996</v>
      </c>
      <c r="DE14" s="70">
        <v>0.77981</v>
      </c>
    </row>
    <row r="15" spans="1:109" ht="21" x14ac:dyDescent="0.4">
      <c r="A15" s="66"/>
      <c r="B15" s="66"/>
      <c r="C15" s="66"/>
      <c r="D15" s="61">
        <v>15</v>
      </c>
      <c r="E15" s="67">
        <v>0.28711999999999999</v>
      </c>
      <c r="F15" s="67">
        <v>0.29453000000000001</v>
      </c>
      <c r="G15" s="67">
        <v>0.30215999999999998</v>
      </c>
      <c r="H15" s="67">
        <v>0.31002000000000002</v>
      </c>
      <c r="I15" s="67">
        <v>0.31809999999999999</v>
      </c>
      <c r="J15" s="67">
        <v>0.32638</v>
      </c>
      <c r="K15" s="67">
        <v>0.33487</v>
      </c>
      <c r="L15" s="67">
        <v>0.34356999999999999</v>
      </c>
      <c r="M15" s="67">
        <v>0.35248000000000002</v>
      </c>
      <c r="N15" s="67">
        <v>0.36157</v>
      </c>
      <c r="O15" s="67">
        <v>0.37085000000000001</v>
      </c>
      <c r="P15" s="67">
        <v>0.38030999999999998</v>
      </c>
      <c r="Q15" s="67">
        <v>0.38995000000000002</v>
      </c>
      <c r="R15" s="67">
        <v>0.39976000000000012</v>
      </c>
      <c r="S15" s="67">
        <v>0.4097400000000001</v>
      </c>
      <c r="T15" s="67">
        <v>0.41988000000000014</v>
      </c>
      <c r="U15" s="67">
        <v>0.43018000000000012</v>
      </c>
      <c r="V15" s="67">
        <v>0.44064000000000014</v>
      </c>
      <c r="W15" s="67">
        <v>0.45126000000000016</v>
      </c>
      <c r="X15" s="68">
        <v>0.46204000000000012</v>
      </c>
      <c r="Y15" s="68">
        <v>0.47299000000000013</v>
      </c>
      <c r="Z15" s="68">
        <v>0.48410000000000014</v>
      </c>
      <c r="AA15" s="68">
        <v>0.49536000000000013</v>
      </c>
      <c r="AB15" s="68">
        <v>0.50677000000000016</v>
      </c>
      <c r="AC15" s="68">
        <v>0.5183000000000002</v>
      </c>
      <c r="AD15" s="68">
        <v>0.52993000000000012</v>
      </c>
      <c r="AE15" s="69">
        <v>0.54165000000000019</v>
      </c>
      <c r="AF15" s="68">
        <v>0.5534300000000002</v>
      </c>
      <c r="AG15" s="68">
        <v>0.56526000000000021</v>
      </c>
      <c r="AH15" s="68">
        <v>0.57716000000000023</v>
      </c>
      <c r="AI15" s="68">
        <v>0.5891200000000002</v>
      </c>
      <c r="AJ15" s="68">
        <v>0.60114000000000023</v>
      </c>
      <c r="AK15" s="68">
        <v>0.61320000000000019</v>
      </c>
      <c r="AL15" s="68">
        <v>0.62531000000000025</v>
      </c>
      <c r="AM15" s="68">
        <v>0.63741000000000014</v>
      </c>
      <c r="AN15" s="68">
        <v>0.64948000000000017</v>
      </c>
      <c r="AO15" s="68">
        <v>0.66148000000000018</v>
      </c>
      <c r="AP15" s="68">
        <v>0.67340000000000022</v>
      </c>
      <c r="AQ15" s="68">
        <v>0.68522000000000016</v>
      </c>
      <c r="AR15" s="68">
        <v>0.69695000000000018</v>
      </c>
      <c r="AS15" s="68">
        <v>0.70860000000000023</v>
      </c>
      <c r="AT15" s="68">
        <v>0.72016000000000013</v>
      </c>
      <c r="AU15" s="68">
        <v>0.73162000000000027</v>
      </c>
      <c r="AV15" s="68">
        <v>0.7429300000000002</v>
      </c>
      <c r="AW15" s="68">
        <v>0.75405000000000022</v>
      </c>
      <c r="AX15" s="68">
        <v>0.76489000000000029</v>
      </c>
      <c r="AY15" s="68">
        <v>0.77541000000000027</v>
      </c>
      <c r="AZ15" s="68">
        <v>0.78557000000000021</v>
      </c>
      <c r="BA15" s="68">
        <v>0.7953800000000002</v>
      </c>
      <c r="BB15" s="68">
        <v>0.80486000000000024</v>
      </c>
      <c r="BC15" s="68">
        <v>0.81406000000000023</v>
      </c>
      <c r="BD15" s="68">
        <v>0.82303000000000026</v>
      </c>
      <c r="BE15" s="68"/>
      <c r="BF15" s="68">
        <v>0.25358000000000003</v>
      </c>
      <c r="BG15" s="68">
        <v>0.26024000000000003</v>
      </c>
      <c r="BH15" s="68">
        <v>0.26707999999999998</v>
      </c>
      <c r="BI15" s="68">
        <v>0.27410000000000001</v>
      </c>
      <c r="BJ15" s="68">
        <v>0.28129999999999999</v>
      </c>
      <c r="BK15" s="68">
        <v>0.28870000000000001</v>
      </c>
      <c r="BL15" s="68">
        <v>0.29626999999999998</v>
      </c>
      <c r="BM15" s="68">
        <v>0.30403999999999998</v>
      </c>
      <c r="BN15" s="68">
        <v>0.31198999999999999</v>
      </c>
      <c r="BO15" s="68">
        <v>0.32012000000000002</v>
      </c>
      <c r="BP15" s="68">
        <v>0.32840000000000003</v>
      </c>
      <c r="BQ15" s="68">
        <v>0.33683999999999997</v>
      </c>
      <c r="BR15" s="68">
        <v>0.34543000000000001</v>
      </c>
      <c r="BS15" s="68">
        <v>0.35415999999999997</v>
      </c>
      <c r="BT15" s="68">
        <v>0.36303000000000002</v>
      </c>
      <c r="BU15" s="70">
        <v>0.37204999999999999</v>
      </c>
      <c r="BV15" s="70">
        <v>0.38123000000000001</v>
      </c>
      <c r="BW15" s="70">
        <v>0.39056999999999997</v>
      </c>
      <c r="BX15" s="70">
        <v>0.40007999999999999</v>
      </c>
      <c r="BY15" s="70">
        <v>0.40977000000000002</v>
      </c>
      <c r="BZ15" s="70">
        <v>0.41963</v>
      </c>
      <c r="CA15" s="70">
        <v>0.42967</v>
      </c>
      <c r="CB15" s="70">
        <v>0.43986999999999998</v>
      </c>
      <c r="CC15" s="70">
        <v>0.45024999999999998</v>
      </c>
      <c r="CD15" s="70">
        <v>0.46078999999999998</v>
      </c>
      <c r="CE15" s="70">
        <v>0.47149000000000002</v>
      </c>
      <c r="CF15" s="70">
        <v>0.48232999999999998</v>
      </c>
      <c r="CG15" s="70">
        <v>0.49332999999999999</v>
      </c>
      <c r="CH15" s="70">
        <v>0.50448999999999999</v>
      </c>
      <c r="CI15" s="70">
        <v>0.51585000000000003</v>
      </c>
      <c r="CJ15" s="70">
        <v>0.52742999999999995</v>
      </c>
      <c r="CK15" s="70">
        <v>0.53924000000000005</v>
      </c>
      <c r="CL15" s="70">
        <v>0.55128999999999995</v>
      </c>
      <c r="CM15" s="70">
        <v>0.56355</v>
      </c>
      <c r="CN15" s="70">
        <v>0.57599</v>
      </c>
      <c r="CO15" s="70">
        <v>0.58853999999999995</v>
      </c>
      <c r="CP15" s="70">
        <v>0.60116000000000003</v>
      </c>
      <c r="CQ15" s="70">
        <v>0.61382000000000003</v>
      </c>
      <c r="CR15" s="70">
        <v>0.62653000000000003</v>
      </c>
      <c r="CS15" s="70">
        <v>0.63929999999999998</v>
      </c>
      <c r="CT15" s="70">
        <v>0.65217000000000003</v>
      </c>
      <c r="CU15" s="70">
        <v>0.66517000000000004</v>
      </c>
      <c r="CV15" s="70">
        <v>0.67830000000000001</v>
      </c>
      <c r="CW15" s="70">
        <v>0.6915</v>
      </c>
      <c r="CX15" s="70">
        <v>0.70470999999999995</v>
      </c>
      <c r="CY15" s="70">
        <v>0.71782000000000001</v>
      </c>
      <c r="CZ15" s="70">
        <v>0.73073999999999995</v>
      </c>
      <c r="DA15" s="70">
        <v>0.74341000000000002</v>
      </c>
      <c r="DB15" s="70">
        <v>0.75580999999999998</v>
      </c>
      <c r="DC15" s="70">
        <v>0.76793999999999996</v>
      </c>
      <c r="DD15" s="70">
        <v>0.77981</v>
      </c>
      <c r="DE15" s="70">
        <v>0.79146000000000005</v>
      </c>
    </row>
    <row r="16" spans="1:109" ht="21" x14ac:dyDescent="0.4">
      <c r="A16" s="66"/>
      <c r="B16" s="66"/>
      <c r="C16" s="66"/>
      <c r="D16" s="61">
        <v>16</v>
      </c>
      <c r="E16" s="67">
        <v>0.29453000000000001</v>
      </c>
      <c r="F16" s="67">
        <v>0.30215999999999998</v>
      </c>
      <c r="G16" s="67">
        <v>0.31002000000000002</v>
      </c>
      <c r="H16" s="67">
        <v>0.31809999999999999</v>
      </c>
      <c r="I16" s="67">
        <v>0.32638</v>
      </c>
      <c r="J16" s="67">
        <v>0.33487</v>
      </c>
      <c r="K16" s="67">
        <v>0.34356999999999999</v>
      </c>
      <c r="L16" s="67">
        <v>0.35248000000000002</v>
      </c>
      <c r="M16" s="67">
        <v>0.36157</v>
      </c>
      <c r="N16" s="67">
        <v>0.37085000000000001</v>
      </c>
      <c r="O16" s="67">
        <v>0.38030999999999998</v>
      </c>
      <c r="P16" s="67">
        <v>0.38995000000000002</v>
      </c>
      <c r="Q16" s="67">
        <v>0.39976000000000012</v>
      </c>
      <c r="R16" s="67">
        <v>0.4097400000000001</v>
      </c>
      <c r="S16" s="67">
        <v>0.41988000000000014</v>
      </c>
      <c r="T16" s="67">
        <v>0.43018000000000012</v>
      </c>
      <c r="U16" s="67">
        <v>0.44064000000000009</v>
      </c>
      <c r="V16" s="67">
        <v>0.45126000000000011</v>
      </c>
      <c r="W16" s="67">
        <v>0.46204000000000012</v>
      </c>
      <c r="X16" s="68">
        <v>0.47299000000000013</v>
      </c>
      <c r="Y16" s="68">
        <v>0.48410000000000009</v>
      </c>
      <c r="Z16" s="68">
        <v>0.49536000000000008</v>
      </c>
      <c r="AA16" s="68">
        <v>0.50677000000000005</v>
      </c>
      <c r="AB16" s="68">
        <v>0.51830000000000009</v>
      </c>
      <c r="AC16" s="68">
        <v>0.52993000000000012</v>
      </c>
      <c r="AD16" s="68">
        <v>0.54165000000000019</v>
      </c>
      <c r="AE16" s="69">
        <v>0.5534300000000002</v>
      </c>
      <c r="AF16" s="68">
        <v>0.5652600000000001</v>
      </c>
      <c r="AG16" s="68">
        <v>0.57716000000000012</v>
      </c>
      <c r="AH16" s="68">
        <v>0.58912000000000009</v>
      </c>
      <c r="AI16" s="68">
        <v>0.60114000000000012</v>
      </c>
      <c r="AJ16" s="68">
        <v>0.61320000000000019</v>
      </c>
      <c r="AK16" s="68">
        <v>0.62531000000000025</v>
      </c>
      <c r="AL16" s="68">
        <v>0.63741000000000014</v>
      </c>
      <c r="AM16" s="68">
        <v>0.64948000000000017</v>
      </c>
      <c r="AN16" s="68">
        <v>0.66148000000000018</v>
      </c>
      <c r="AO16" s="68">
        <v>0.67340000000000022</v>
      </c>
      <c r="AP16" s="68">
        <v>0.68522000000000016</v>
      </c>
      <c r="AQ16" s="68">
        <v>0.69695000000000018</v>
      </c>
      <c r="AR16" s="68">
        <v>0.70860000000000023</v>
      </c>
      <c r="AS16" s="68">
        <v>0.72016000000000013</v>
      </c>
      <c r="AT16" s="68">
        <v>0.73162000000000027</v>
      </c>
      <c r="AU16" s="68">
        <v>0.7429300000000002</v>
      </c>
      <c r="AV16" s="68">
        <v>0.75405000000000022</v>
      </c>
      <c r="AW16" s="68">
        <v>0.76489000000000018</v>
      </c>
      <c r="AX16" s="68">
        <v>0.77541000000000015</v>
      </c>
      <c r="AY16" s="68">
        <v>0.78557000000000021</v>
      </c>
      <c r="AZ16" s="68">
        <v>0.7953800000000002</v>
      </c>
      <c r="BA16" s="68">
        <v>0.80486000000000024</v>
      </c>
      <c r="BB16" s="68">
        <v>0.81406000000000023</v>
      </c>
      <c r="BC16" s="68">
        <v>0.82303000000000015</v>
      </c>
      <c r="BD16" s="68">
        <v>0.83178000000000019</v>
      </c>
      <c r="BE16" s="68"/>
      <c r="BF16" s="68">
        <v>0.26024000000000003</v>
      </c>
      <c r="BG16" s="68">
        <v>0.26707999999999998</v>
      </c>
      <c r="BH16" s="68">
        <v>0.27410000000000001</v>
      </c>
      <c r="BI16" s="68">
        <v>0.28129999999999999</v>
      </c>
      <c r="BJ16" s="68">
        <v>0.28870000000000001</v>
      </c>
      <c r="BK16" s="68">
        <v>0.29626999999999998</v>
      </c>
      <c r="BL16" s="68">
        <v>0.30403999999999998</v>
      </c>
      <c r="BM16" s="68">
        <v>0.31198999999999999</v>
      </c>
      <c r="BN16" s="68">
        <v>0.32012000000000002</v>
      </c>
      <c r="BO16" s="68">
        <v>0.32840000000000003</v>
      </c>
      <c r="BP16" s="68">
        <v>0.33683999999999997</v>
      </c>
      <c r="BQ16" s="68">
        <v>0.34543000000000001</v>
      </c>
      <c r="BR16" s="68">
        <v>0.35415999999999997</v>
      </c>
      <c r="BS16" s="68">
        <v>0.36303000000000002</v>
      </c>
      <c r="BT16" s="68">
        <v>0.37204999999999999</v>
      </c>
      <c r="BU16" s="70">
        <v>0.38123000000000001</v>
      </c>
      <c r="BV16" s="70">
        <v>0.39056999999999997</v>
      </c>
      <c r="BW16" s="70">
        <v>0.40007999999999999</v>
      </c>
      <c r="BX16" s="70">
        <v>0.40977000000000002</v>
      </c>
      <c r="BY16" s="70">
        <v>0.41963</v>
      </c>
      <c r="BZ16" s="70">
        <v>0.42967</v>
      </c>
      <c r="CA16" s="70">
        <v>0.43986999999999998</v>
      </c>
      <c r="CB16" s="70">
        <v>0.45024999999999998</v>
      </c>
      <c r="CC16" s="70">
        <v>0.46078999999999998</v>
      </c>
      <c r="CD16" s="70">
        <v>0.47149000000000002</v>
      </c>
      <c r="CE16" s="70">
        <v>0.48232999999999998</v>
      </c>
      <c r="CF16" s="70">
        <v>0.49332999999999999</v>
      </c>
      <c r="CG16" s="70">
        <v>0.50448999999999999</v>
      </c>
      <c r="CH16" s="70">
        <v>0.51585000000000003</v>
      </c>
      <c r="CI16" s="70">
        <v>0.52742999999999995</v>
      </c>
      <c r="CJ16" s="70">
        <v>0.53924000000000005</v>
      </c>
      <c r="CK16" s="70">
        <v>0.55128999999999995</v>
      </c>
      <c r="CL16" s="70">
        <v>0.56355</v>
      </c>
      <c r="CM16" s="70">
        <v>0.57599</v>
      </c>
      <c r="CN16" s="70">
        <v>0.58853999999999995</v>
      </c>
      <c r="CO16" s="70">
        <v>0.60116000000000003</v>
      </c>
      <c r="CP16" s="70">
        <v>0.61382000000000003</v>
      </c>
      <c r="CQ16" s="70">
        <v>0.62653000000000003</v>
      </c>
      <c r="CR16" s="70">
        <v>0.63929999999999998</v>
      </c>
      <c r="CS16" s="70">
        <v>0.65217000000000003</v>
      </c>
      <c r="CT16" s="70">
        <v>0.66517000000000004</v>
      </c>
      <c r="CU16" s="70">
        <v>0.67830000000000001</v>
      </c>
      <c r="CV16" s="70">
        <v>0.6915</v>
      </c>
      <c r="CW16" s="70">
        <v>0.70470999999999995</v>
      </c>
      <c r="CX16" s="70">
        <v>0.71782000000000001</v>
      </c>
      <c r="CY16" s="70">
        <v>0.73073999999999995</v>
      </c>
      <c r="CZ16" s="70">
        <v>0.74341000000000002</v>
      </c>
      <c r="DA16" s="70">
        <v>0.75580999999999998</v>
      </c>
      <c r="DB16" s="70">
        <v>0.76793999999999996</v>
      </c>
      <c r="DC16" s="70">
        <v>0.77981</v>
      </c>
      <c r="DD16" s="70">
        <v>0.79146000000000005</v>
      </c>
      <c r="DE16" s="70">
        <v>0.80286999999999997</v>
      </c>
    </row>
    <row r="17" spans="1:109" ht="21" x14ac:dyDescent="0.4">
      <c r="A17" s="66"/>
      <c r="B17" s="66"/>
      <c r="C17" s="66"/>
      <c r="D17" s="61">
        <v>17</v>
      </c>
      <c r="E17" s="67">
        <v>0.30215999999999998</v>
      </c>
      <c r="F17" s="67">
        <v>0.31002000000000002</v>
      </c>
      <c r="G17" s="67">
        <v>0.31809999999999999</v>
      </c>
      <c r="H17" s="67">
        <v>0.32638</v>
      </c>
      <c r="I17" s="67">
        <v>0.33487</v>
      </c>
      <c r="J17" s="67">
        <v>0.34356999999999999</v>
      </c>
      <c r="K17" s="67">
        <v>0.35248000000000002</v>
      </c>
      <c r="L17" s="67">
        <v>0.36157</v>
      </c>
      <c r="M17" s="67">
        <v>0.37085000000000001</v>
      </c>
      <c r="N17" s="67">
        <v>0.38030999999999998</v>
      </c>
      <c r="O17" s="67">
        <v>0.38995000000000002</v>
      </c>
      <c r="P17" s="67">
        <v>0.39976000000000012</v>
      </c>
      <c r="Q17" s="67">
        <v>0.4097400000000001</v>
      </c>
      <c r="R17" s="67">
        <v>0.41988000000000014</v>
      </c>
      <c r="S17" s="67">
        <v>0.43018000000000012</v>
      </c>
      <c r="T17" s="67">
        <v>0.4406400000000002</v>
      </c>
      <c r="U17" s="67">
        <v>0.45126000000000022</v>
      </c>
      <c r="V17" s="67">
        <v>0.46204000000000023</v>
      </c>
      <c r="W17" s="67">
        <v>0.47299000000000024</v>
      </c>
      <c r="X17" s="68">
        <v>0.48410000000000025</v>
      </c>
      <c r="Y17" s="68">
        <v>0.4953600000000003</v>
      </c>
      <c r="Z17" s="68">
        <v>0.50677000000000028</v>
      </c>
      <c r="AA17" s="68">
        <v>0.51830000000000032</v>
      </c>
      <c r="AB17" s="68">
        <v>0.52993000000000035</v>
      </c>
      <c r="AC17" s="68">
        <v>0.5416500000000003</v>
      </c>
      <c r="AD17" s="68">
        <v>0.55343000000000031</v>
      </c>
      <c r="AE17" s="69">
        <v>0.56526000000000032</v>
      </c>
      <c r="AF17" s="68">
        <v>0.57716000000000034</v>
      </c>
      <c r="AG17" s="68">
        <v>0.58912000000000031</v>
      </c>
      <c r="AH17" s="68">
        <v>0.60114000000000034</v>
      </c>
      <c r="AI17" s="68">
        <v>0.6132000000000003</v>
      </c>
      <c r="AJ17" s="68">
        <v>0.62531000000000025</v>
      </c>
      <c r="AK17" s="68">
        <v>0.63741000000000037</v>
      </c>
      <c r="AL17" s="68">
        <v>0.64948000000000039</v>
      </c>
      <c r="AM17" s="68">
        <v>0.66148000000000029</v>
      </c>
      <c r="AN17" s="68">
        <v>0.67340000000000033</v>
      </c>
      <c r="AO17" s="68">
        <v>0.68522000000000027</v>
      </c>
      <c r="AP17" s="68">
        <v>0.6969500000000004</v>
      </c>
      <c r="AQ17" s="68">
        <v>0.70860000000000034</v>
      </c>
      <c r="AR17" s="68">
        <v>0.72016000000000047</v>
      </c>
      <c r="AS17" s="68">
        <v>0.73162000000000049</v>
      </c>
      <c r="AT17" s="68">
        <v>0.74293000000000031</v>
      </c>
      <c r="AU17" s="68">
        <v>0.75405000000000044</v>
      </c>
      <c r="AV17" s="68">
        <v>0.7648900000000004</v>
      </c>
      <c r="AW17" s="68">
        <v>0.77541000000000038</v>
      </c>
      <c r="AX17" s="68">
        <v>0.78557000000000043</v>
      </c>
      <c r="AY17" s="68">
        <v>0.79538000000000042</v>
      </c>
      <c r="AZ17" s="68">
        <v>0.80486000000000046</v>
      </c>
      <c r="BA17" s="68">
        <v>0.81406000000000045</v>
      </c>
      <c r="BB17" s="68">
        <v>0.82303000000000037</v>
      </c>
      <c r="BC17" s="68">
        <v>0.83178000000000052</v>
      </c>
      <c r="BD17" s="68">
        <v>0.84029000000000054</v>
      </c>
      <c r="BE17" s="68"/>
      <c r="BF17" s="68">
        <v>0.26707999999999998</v>
      </c>
      <c r="BG17" s="68">
        <v>0.27410000000000001</v>
      </c>
      <c r="BH17" s="68">
        <v>0.28129999999999999</v>
      </c>
      <c r="BI17" s="68">
        <v>0.28870000000000001</v>
      </c>
      <c r="BJ17" s="68">
        <v>0.29626999999999998</v>
      </c>
      <c r="BK17" s="68">
        <v>0.30403999999999998</v>
      </c>
      <c r="BL17" s="68">
        <v>0.31198999999999999</v>
      </c>
      <c r="BM17" s="68">
        <v>0.32012000000000002</v>
      </c>
      <c r="BN17" s="68">
        <v>0.32840000000000003</v>
      </c>
      <c r="BO17" s="68">
        <v>0.33683999999999997</v>
      </c>
      <c r="BP17" s="68">
        <v>0.34543000000000001</v>
      </c>
      <c r="BQ17" s="68">
        <v>0.35415999999999997</v>
      </c>
      <c r="BR17" s="68">
        <v>0.36303000000000002</v>
      </c>
      <c r="BS17" s="68">
        <v>0.37204999999999999</v>
      </c>
      <c r="BT17" s="68">
        <v>0.38123000000000001</v>
      </c>
      <c r="BU17" s="70">
        <v>0.39056999999999997</v>
      </c>
      <c r="BV17" s="70">
        <v>0.40007999999999999</v>
      </c>
      <c r="BW17" s="70">
        <v>0.40977000000000002</v>
      </c>
      <c r="BX17" s="70">
        <v>0.41963</v>
      </c>
      <c r="BY17" s="70">
        <v>0.42967</v>
      </c>
      <c r="BZ17" s="70">
        <v>0.43986999999999998</v>
      </c>
      <c r="CA17" s="70">
        <v>0.45024999999999998</v>
      </c>
      <c r="CB17" s="70">
        <v>0.46078999999999998</v>
      </c>
      <c r="CC17" s="70">
        <v>0.47149000000000002</v>
      </c>
      <c r="CD17" s="70">
        <v>0.48232999999999998</v>
      </c>
      <c r="CE17" s="70">
        <v>0.49332999999999999</v>
      </c>
      <c r="CF17" s="70">
        <v>0.50448999999999999</v>
      </c>
      <c r="CG17" s="70">
        <v>0.51585000000000003</v>
      </c>
      <c r="CH17" s="70">
        <v>0.52742999999999995</v>
      </c>
      <c r="CI17" s="70">
        <v>0.53924000000000005</v>
      </c>
      <c r="CJ17" s="70">
        <v>0.55128999999999995</v>
      </c>
      <c r="CK17" s="70">
        <v>0.56355</v>
      </c>
      <c r="CL17" s="70">
        <v>0.57599</v>
      </c>
      <c r="CM17" s="70">
        <v>0.58853999999999995</v>
      </c>
      <c r="CN17" s="70">
        <v>0.60116000000000003</v>
      </c>
      <c r="CO17" s="70">
        <v>0.61382000000000003</v>
      </c>
      <c r="CP17" s="70">
        <v>0.62653000000000003</v>
      </c>
      <c r="CQ17" s="70">
        <v>0.63929999999999998</v>
      </c>
      <c r="CR17" s="70">
        <v>0.65217000000000003</v>
      </c>
      <c r="CS17" s="70">
        <v>0.66517000000000004</v>
      </c>
      <c r="CT17" s="70">
        <v>0.67830000000000001</v>
      </c>
      <c r="CU17" s="70">
        <v>0.6915</v>
      </c>
      <c r="CV17" s="70">
        <v>0.70470999999999995</v>
      </c>
      <c r="CW17" s="70">
        <v>0.71782000000000001</v>
      </c>
      <c r="CX17" s="70">
        <v>0.73073999999999995</v>
      </c>
      <c r="CY17" s="70">
        <v>0.74341000000000002</v>
      </c>
      <c r="CZ17" s="70">
        <v>0.75580999999999998</v>
      </c>
      <c r="DA17" s="70">
        <v>0.76793999999999996</v>
      </c>
      <c r="DB17" s="70">
        <v>0.77981</v>
      </c>
      <c r="DC17" s="70">
        <v>0.79146000000000005</v>
      </c>
      <c r="DD17" s="70">
        <v>0.80286999999999997</v>
      </c>
      <c r="DE17" s="70">
        <v>0.81399999999999995</v>
      </c>
    </row>
    <row r="18" spans="1:109" ht="21" x14ac:dyDescent="0.4">
      <c r="A18" s="66"/>
      <c r="B18" s="66"/>
      <c r="C18" s="66"/>
      <c r="D18" s="61">
        <v>18</v>
      </c>
      <c r="E18" s="67">
        <v>0.31002000000000002</v>
      </c>
      <c r="F18" s="67">
        <v>0.31809999999999999</v>
      </c>
      <c r="G18" s="67">
        <v>0.32638</v>
      </c>
      <c r="H18" s="67">
        <v>0.33487</v>
      </c>
      <c r="I18" s="67">
        <v>0.34356999999999999</v>
      </c>
      <c r="J18" s="67">
        <v>0.35248000000000002</v>
      </c>
      <c r="K18" s="67">
        <v>0.36157</v>
      </c>
      <c r="L18" s="67">
        <v>0.37085000000000001</v>
      </c>
      <c r="M18" s="67">
        <v>0.38030999999999998</v>
      </c>
      <c r="N18" s="67">
        <v>0.38995000000000002</v>
      </c>
      <c r="O18" s="67">
        <v>0.39976000000000012</v>
      </c>
      <c r="P18" s="67">
        <v>0.4097400000000001</v>
      </c>
      <c r="Q18" s="67">
        <v>0.41988000000000014</v>
      </c>
      <c r="R18" s="67">
        <v>0.43018000000000012</v>
      </c>
      <c r="S18" s="67">
        <v>0.4406400000000002</v>
      </c>
      <c r="T18" s="67">
        <v>0.45126000000000011</v>
      </c>
      <c r="U18" s="67">
        <v>0.46204000000000012</v>
      </c>
      <c r="V18" s="67">
        <v>0.47299000000000013</v>
      </c>
      <c r="W18" s="67">
        <v>0.48410000000000009</v>
      </c>
      <c r="X18" s="68">
        <v>0.49536000000000008</v>
      </c>
      <c r="Y18" s="68">
        <v>0.50677000000000005</v>
      </c>
      <c r="Z18" s="68">
        <v>0.5183000000000002</v>
      </c>
      <c r="AA18" s="68">
        <v>0.52993000000000012</v>
      </c>
      <c r="AB18" s="68">
        <v>0.54165000000000008</v>
      </c>
      <c r="AC18" s="68">
        <v>0.55343000000000009</v>
      </c>
      <c r="AD18" s="68">
        <v>0.5652600000000001</v>
      </c>
      <c r="AE18" s="69">
        <v>0.57716000000000012</v>
      </c>
      <c r="AF18" s="68">
        <v>0.5891200000000002</v>
      </c>
      <c r="AG18" s="68">
        <v>0.60114000000000012</v>
      </c>
      <c r="AH18" s="68">
        <v>0.61320000000000008</v>
      </c>
      <c r="AI18" s="68">
        <v>0.62531000000000014</v>
      </c>
      <c r="AJ18" s="68">
        <v>0.63741000000000014</v>
      </c>
      <c r="AK18" s="68">
        <v>0.64948000000000006</v>
      </c>
      <c r="AL18" s="68">
        <v>0.66148000000000018</v>
      </c>
      <c r="AM18" s="68">
        <v>0.67340000000000011</v>
      </c>
      <c r="AN18" s="68">
        <v>0.68522000000000016</v>
      </c>
      <c r="AO18" s="68">
        <v>0.69695000000000018</v>
      </c>
      <c r="AP18" s="68">
        <v>0.70860000000000012</v>
      </c>
      <c r="AQ18" s="68">
        <v>0.72016000000000013</v>
      </c>
      <c r="AR18" s="68">
        <v>0.73162000000000016</v>
      </c>
      <c r="AS18" s="68">
        <v>0.7429300000000002</v>
      </c>
      <c r="AT18" s="68">
        <v>0.75405000000000011</v>
      </c>
      <c r="AU18" s="68">
        <v>0.76489000000000018</v>
      </c>
      <c r="AV18" s="68">
        <v>0.77541000000000015</v>
      </c>
      <c r="AW18" s="68">
        <v>0.78557000000000021</v>
      </c>
      <c r="AX18" s="68">
        <v>0.7953800000000002</v>
      </c>
      <c r="AY18" s="68">
        <v>0.80486000000000013</v>
      </c>
      <c r="AZ18" s="68">
        <v>0.81406000000000012</v>
      </c>
      <c r="BA18" s="68">
        <v>0.82303000000000015</v>
      </c>
      <c r="BB18" s="68">
        <v>0.83178000000000019</v>
      </c>
      <c r="BC18" s="68">
        <v>0.84029000000000009</v>
      </c>
      <c r="BD18" s="68">
        <v>0.84852000000000016</v>
      </c>
      <c r="BE18" s="68"/>
      <c r="BF18" s="68">
        <v>0.27410000000000001</v>
      </c>
      <c r="BG18" s="68">
        <v>0.28129999999999999</v>
      </c>
      <c r="BH18" s="68">
        <v>0.28870000000000001</v>
      </c>
      <c r="BI18" s="68">
        <v>0.29626999999999998</v>
      </c>
      <c r="BJ18" s="68">
        <v>0.30403999999999998</v>
      </c>
      <c r="BK18" s="68">
        <v>0.31198999999999999</v>
      </c>
      <c r="BL18" s="68">
        <v>0.32012000000000002</v>
      </c>
      <c r="BM18" s="68">
        <v>0.32840000000000003</v>
      </c>
      <c r="BN18" s="68">
        <v>0.33683999999999997</v>
      </c>
      <c r="BO18" s="68">
        <v>0.34543000000000001</v>
      </c>
      <c r="BP18" s="68">
        <v>0.35415999999999997</v>
      </c>
      <c r="BQ18" s="68">
        <v>0.36303000000000002</v>
      </c>
      <c r="BR18" s="68">
        <v>0.37204999999999999</v>
      </c>
      <c r="BS18" s="68">
        <v>0.38123000000000001</v>
      </c>
      <c r="BT18" s="68">
        <v>0.39056999999999997</v>
      </c>
      <c r="BU18" s="70">
        <v>0.40007999999999999</v>
      </c>
      <c r="BV18" s="70">
        <v>0.40977000000000002</v>
      </c>
      <c r="BW18" s="70">
        <v>0.41963</v>
      </c>
      <c r="BX18" s="70">
        <v>0.42967</v>
      </c>
      <c r="BY18" s="70">
        <v>0.43986999999999998</v>
      </c>
      <c r="BZ18" s="70">
        <v>0.45024999999999998</v>
      </c>
      <c r="CA18" s="70">
        <v>0.46078999999999998</v>
      </c>
      <c r="CB18" s="70">
        <v>0.47149000000000002</v>
      </c>
      <c r="CC18" s="70">
        <v>0.48232999999999998</v>
      </c>
      <c r="CD18" s="70">
        <v>0.49332999999999999</v>
      </c>
      <c r="CE18" s="70">
        <v>0.50448999999999999</v>
      </c>
      <c r="CF18" s="70">
        <v>0.51585000000000003</v>
      </c>
      <c r="CG18" s="70">
        <v>0.52742999999999995</v>
      </c>
      <c r="CH18" s="70">
        <v>0.53924000000000005</v>
      </c>
      <c r="CI18" s="70">
        <v>0.55128999999999995</v>
      </c>
      <c r="CJ18" s="70">
        <v>0.56355</v>
      </c>
      <c r="CK18" s="70">
        <v>0.57599</v>
      </c>
      <c r="CL18" s="70">
        <v>0.58853999999999995</v>
      </c>
      <c r="CM18" s="70">
        <v>0.60116000000000003</v>
      </c>
      <c r="CN18" s="70">
        <v>0.61382000000000003</v>
      </c>
      <c r="CO18" s="70">
        <v>0.62653000000000003</v>
      </c>
      <c r="CP18" s="70">
        <v>0.63929999999999998</v>
      </c>
      <c r="CQ18" s="70">
        <v>0.65217000000000003</v>
      </c>
      <c r="CR18" s="70">
        <v>0.66517000000000004</v>
      </c>
      <c r="CS18" s="70">
        <v>0.67830000000000001</v>
      </c>
      <c r="CT18" s="70">
        <v>0.6915</v>
      </c>
      <c r="CU18" s="70">
        <v>0.70470999999999995</v>
      </c>
      <c r="CV18" s="70">
        <v>0.71782000000000001</v>
      </c>
      <c r="CW18" s="70">
        <v>0.73073999999999995</v>
      </c>
      <c r="CX18" s="70">
        <v>0.74341000000000002</v>
      </c>
      <c r="CY18" s="70">
        <v>0.75580999999999998</v>
      </c>
      <c r="CZ18" s="70">
        <v>0.76793999999999996</v>
      </c>
      <c r="DA18" s="70">
        <v>0.77981</v>
      </c>
      <c r="DB18" s="70">
        <v>0.79146000000000005</v>
      </c>
      <c r="DC18" s="70">
        <v>0.80286999999999997</v>
      </c>
      <c r="DD18" s="70">
        <v>0.81399999999999995</v>
      </c>
      <c r="DE18" s="70">
        <v>0.82477999999999996</v>
      </c>
    </row>
    <row r="19" spans="1:109" ht="21" x14ac:dyDescent="0.4">
      <c r="A19" s="66"/>
      <c r="B19" s="66"/>
      <c r="C19" s="66"/>
      <c r="D19" s="61">
        <v>19</v>
      </c>
      <c r="E19" s="67">
        <v>0.31809999999999999</v>
      </c>
      <c r="F19" s="67">
        <v>0.32638</v>
      </c>
      <c r="G19" s="67">
        <v>0.33487</v>
      </c>
      <c r="H19" s="67">
        <v>0.34356999999999999</v>
      </c>
      <c r="I19" s="67">
        <v>0.35248000000000002</v>
      </c>
      <c r="J19" s="67">
        <v>0.36157</v>
      </c>
      <c r="K19" s="67">
        <v>0.37085000000000001</v>
      </c>
      <c r="L19" s="67">
        <v>0.38030999999999998</v>
      </c>
      <c r="M19" s="67">
        <v>0.38995000000000002</v>
      </c>
      <c r="N19" s="67">
        <v>0.39976000000000012</v>
      </c>
      <c r="O19" s="67">
        <v>0.4097400000000001</v>
      </c>
      <c r="P19" s="67">
        <v>0.41988000000000014</v>
      </c>
      <c r="Q19" s="67">
        <v>0.43018000000000012</v>
      </c>
      <c r="R19" s="67">
        <v>0.4406400000000002</v>
      </c>
      <c r="S19" s="67">
        <v>0.45126000000000011</v>
      </c>
      <c r="T19" s="67">
        <v>0.46204000000000012</v>
      </c>
      <c r="U19" s="67">
        <v>0.47299000000000013</v>
      </c>
      <c r="V19" s="67">
        <v>0.48410000000000009</v>
      </c>
      <c r="W19" s="67">
        <v>0.49536000000000013</v>
      </c>
      <c r="X19" s="68">
        <v>0.50677000000000005</v>
      </c>
      <c r="Y19" s="68">
        <v>0.5183000000000002</v>
      </c>
      <c r="Z19" s="68">
        <v>0.52993000000000012</v>
      </c>
      <c r="AA19" s="68">
        <v>0.54165000000000008</v>
      </c>
      <c r="AB19" s="68">
        <v>0.5534300000000002</v>
      </c>
      <c r="AC19" s="68">
        <v>0.56526000000000021</v>
      </c>
      <c r="AD19" s="68">
        <v>0.57716000000000012</v>
      </c>
      <c r="AE19" s="69">
        <v>0.5891200000000002</v>
      </c>
      <c r="AF19" s="68">
        <v>0.60114000000000012</v>
      </c>
      <c r="AG19" s="68">
        <v>0.61320000000000019</v>
      </c>
      <c r="AH19" s="68">
        <v>0.62531000000000014</v>
      </c>
      <c r="AI19" s="68">
        <v>0.63741000000000014</v>
      </c>
      <c r="AJ19" s="68">
        <v>0.64948000000000017</v>
      </c>
      <c r="AK19" s="68">
        <v>0.66148000000000018</v>
      </c>
      <c r="AL19" s="68">
        <v>0.67340000000000022</v>
      </c>
      <c r="AM19" s="68">
        <v>0.68522000000000016</v>
      </c>
      <c r="AN19" s="68">
        <v>0.69695000000000018</v>
      </c>
      <c r="AO19" s="68">
        <v>0.70860000000000023</v>
      </c>
      <c r="AP19" s="68">
        <v>0.72016000000000013</v>
      </c>
      <c r="AQ19" s="68">
        <v>0.73162000000000027</v>
      </c>
      <c r="AR19" s="68">
        <v>0.7429300000000002</v>
      </c>
      <c r="AS19" s="68">
        <v>0.75405000000000022</v>
      </c>
      <c r="AT19" s="68">
        <v>0.76489000000000018</v>
      </c>
      <c r="AU19" s="68">
        <v>0.77541000000000015</v>
      </c>
      <c r="AV19" s="68">
        <v>0.78557000000000021</v>
      </c>
      <c r="AW19" s="68">
        <v>0.7953800000000002</v>
      </c>
      <c r="AX19" s="68">
        <v>0.80486000000000024</v>
      </c>
      <c r="AY19" s="68">
        <v>0.81406000000000023</v>
      </c>
      <c r="AZ19" s="68">
        <v>0.82303000000000026</v>
      </c>
      <c r="BA19" s="68">
        <v>0.8317800000000003</v>
      </c>
      <c r="BB19" s="68">
        <v>0.8402900000000002</v>
      </c>
      <c r="BC19" s="68">
        <v>0.84852000000000027</v>
      </c>
      <c r="BD19" s="68">
        <v>0.85640000000000016</v>
      </c>
      <c r="BE19" s="68"/>
      <c r="BF19" s="68">
        <v>0.28129999999999999</v>
      </c>
      <c r="BG19" s="68">
        <v>0.28870000000000001</v>
      </c>
      <c r="BH19" s="68">
        <v>0.29626999999999998</v>
      </c>
      <c r="BI19" s="68">
        <v>0.30403999999999998</v>
      </c>
      <c r="BJ19" s="68">
        <v>0.31198999999999999</v>
      </c>
      <c r="BK19" s="68">
        <v>0.32012000000000002</v>
      </c>
      <c r="BL19" s="68">
        <v>0.32840000000000003</v>
      </c>
      <c r="BM19" s="68">
        <v>0.33683999999999997</v>
      </c>
      <c r="BN19" s="68">
        <v>0.34543000000000001</v>
      </c>
      <c r="BO19" s="68">
        <v>0.35415999999999997</v>
      </c>
      <c r="BP19" s="68">
        <v>0.36303000000000002</v>
      </c>
      <c r="BQ19" s="68">
        <v>0.37204999999999999</v>
      </c>
      <c r="BR19" s="68">
        <v>0.38123000000000001</v>
      </c>
      <c r="BS19" s="68">
        <v>0.39056999999999997</v>
      </c>
      <c r="BT19" s="68">
        <v>0.40007999999999999</v>
      </c>
      <c r="BU19" s="70">
        <v>0.40977000000000002</v>
      </c>
      <c r="BV19" s="70">
        <v>0.41963</v>
      </c>
      <c r="BW19" s="70">
        <v>0.42967</v>
      </c>
      <c r="BX19" s="70">
        <v>0.43986999999999998</v>
      </c>
      <c r="BY19" s="70">
        <v>0.45024999999999998</v>
      </c>
      <c r="BZ19" s="70">
        <v>0.46078999999999998</v>
      </c>
      <c r="CA19" s="70">
        <v>0.47149000000000002</v>
      </c>
      <c r="CB19" s="70">
        <v>0.48232999999999998</v>
      </c>
      <c r="CC19" s="70">
        <v>0.49332999999999999</v>
      </c>
      <c r="CD19" s="70">
        <v>0.50448999999999999</v>
      </c>
      <c r="CE19" s="70">
        <v>0.51585000000000003</v>
      </c>
      <c r="CF19" s="70">
        <v>0.52742999999999995</v>
      </c>
      <c r="CG19" s="70">
        <v>0.53924000000000005</v>
      </c>
      <c r="CH19" s="70">
        <v>0.55128999999999995</v>
      </c>
      <c r="CI19" s="70">
        <v>0.56355</v>
      </c>
      <c r="CJ19" s="70">
        <v>0.57599</v>
      </c>
      <c r="CK19" s="70">
        <v>0.58853999999999995</v>
      </c>
      <c r="CL19" s="70">
        <v>0.60116000000000003</v>
      </c>
      <c r="CM19" s="70">
        <v>0.61382000000000003</v>
      </c>
      <c r="CN19" s="70">
        <v>0.62653000000000003</v>
      </c>
      <c r="CO19" s="70">
        <v>0.63929999999999998</v>
      </c>
      <c r="CP19" s="70">
        <v>0.65217000000000003</v>
      </c>
      <c r="CQ19" s="70">
        <v>0.66517000000000004</v>
      </c>
      <c r="CR19" s="70">
        <v>0.67830000000000001</v>
      </c>
      <c r="CS19" s="70">
        <v>0.6915</v>
      </c>
      <c r="CT19" s="70">
        <v>0.70470999999999995</v>
      </c>
      <c r="CU19" s="70">
        <v>0.71782000000000001</v>
      </c>
      <c r="CV19" s="70">
        <v>0.73073999999999995</v>
      </c>
      <c r="CW19" s="70">
        <v>0.74341000000000002</v>
      </c>
      <c r="CX19" s="70">
        <v>0.75580999999999998</v>
      </c>
      <c r="CY19" s="70">
        <v>0.76793999999999996</v>
      </c>
      <c r="CZ19" s="70">
        <v>0.77981</v>
      </c>
      <c r="DA19" s="70">
        <v>0.79146000000000005</v>
      </c>
      <c r="DB19" s="70">
        <v>0.80286999999999997</v>
      </c>
      <c r="DC19" s="70">
        <v>0.81399999999999995</v>
      </c>
      <c r="DD19" s="70">
        <v>0.82477999999999996</v>
      </c>
      <c r="DE19" s="70">
        <v>0.83513999999999999</v>
      </c>
    </row>
    <row r="20" spans="1:109" ht="21" x14ac:dyDescent="0.4">
      <c r="A20" s="66"/>
      <c r="B20" s="66"/>
      <c r="C20" s="66"/>
      <c r="D20" s="61">
        <v>20</v>
      </c>
      <c r="E20" s="67">
        <v>0.32638</v>
      </c>
      <c r="F20" s="67">
        <v>0.33487</v>
      </c>
      <c r="G20" s="67">
        <v>0.34356999999999999</v>
      </c>
      <c r="H20" s="67">
        <v>0.35248000000000002</v>
      </c>
      <c r="I20" s="67">
        <v>0.36157</v>
      </c>
      <c r="J20" s="67">
        <v>0.37085000000000001</v>
      </c>
      <c r="K20" s="67">
        <v>0.38030999999999998</v>
      </c>
      <c r="L20" s="67">
        <v>0.38995000000000002</v>
      </c>
      <c r="M20" s="67">
        <v>0.39976000000000012</v>
      </c>
      <c r="N20" s="67">
        <v>0.4097400000000001</v>
      </c>
      <c r="O20" s="67">
        <v>0.41988000000000014</v>
      </c>
      <c r="P20" s="67">
        <v>0.43018000000000012</v>
      </c>
      <c r="Q20" s="67">
        <v>0.4406400000000002</v>
      </c>
      <c r="R20" s="67">
        <v>0.45126000000000011</v>
      </c>
      <c r="S20" s="67">
        <v>0.46204000000000012</v>
      </c>
      <c r="T20" s="67">
        <v>0.47299000000000008</v>
      </c>
      <c r="U20" s="67">
        <v>0.48410000000000009</v>
      </c>
      <c r="V20" s="67">
        <v>0.49536000000000013</v>
      </c>
      <c r="W20" s="67">
        <v>0.50677000000000005</v>
      </c>
      <c r="X20" s="68">
        <v>0.51830000000000009</v>
      </c>
      <c r="Y20" s="68">
        <v>0.52993000000000001</v>
      </c>
      <c r="Z20" s="68">
        <v>0.54165000000000008</v>
      </c>
      <c r="AA20" s="68">
        <v>0.55343000000000009</v>
      </c>
      <c r="AB20" s="68">
        <v>0.5652600000000001</v>
      </c>
      <c r="AC20" s="68">
        <v>0.57716000000000012</v>
      </c>
      <c r="AD20" s="68">
        <v>0.58912000000000009</v>
      </c>
      <c r="AE20" s="69">
        <v>0.60114000000000012</v>
      </c>
      <c r="AF20" s="68">
        <v>0.61320000000000008</v>
      </c>
      <c r="AG20" s="68">
        <v>0.62531000000000014</v>
      </c>
      <c r="AH20" s="68">
        <v>0.63741000000000014</v>
      </c>
      <c r="AI20" s="68">
        <v>0.64948000000000006</v>
      </c>
      <c r="AJ20" s="68">
        <v>0.66148000000000007</v>
      </c>
      <c r="AK20" s="68">
        <v>0.67340000000000011</v>
      </c>
      <c r="AL20" s="68">
        <v>0.68522000000000005</v>
      </c>
      <c r="AM20" s="68">
        <v>0.69695000000000007</v>
      </c>
      <c r="AN20" s="68">
        <v>0.70860000000000012</v>
      </c>
      <c r="AO20" s="68">
        <v>0.72016000000000013</v>
      </c>
      <c r="AP20" s="68">
        <v>0.73162000000000016</v>
      </c>
      <c r="AQ20" s="68">
        <v>0.7429300000000002</v>
      </c>
      <c r="AR20" s="68">
        <v>0.75405000000000011</v>
      </c>
      <c r="AS20" s="68">
        <v>0.76489000000000007</v>
      </c>
      <c r="AT20" s="68">
        <v>0.77541000000000015</v>
      </c>
      <c r="AU20" s="68">
        <v>0.7855700000000001</v>
      </c>
      <c r="AV20" s="68">
        <v>0.79538000000000009</v>
      </c>
      <c r="AW20" s="68">
        <v>0.80486000000000013</v>
      </c>
      <c r="AX20" s="68">
        <v>0.81406000000000012</v>
      </c>
      <c r="AY20" s="68">
        <v>0.82303000000000004</v>
      </c>
      <c r="AZ20" s="68">
        <v>0.83178000000000019</v>
      </c>
      <c r="BA20" s="68">
        <v>0.84029000000000009</v>
      </c>
      <c r="BB20" s="68">
        <v>0.84852000000000005</v>
      </c>
      <c r="BC20" s="68">
        <v>0.85640000000000016</v>
      </c>
      <c r="BD20" s="68">
        <v>0.86387000000000014</v>
      </c>
      <c r="BE20" s="68"/>
      <c r="BF20" s="68">
        <v>0.28870000000000001</v>
      </c>
      <c r="BG20" s="68">
        <v>0.29626999999999998</v>
      </c>
      <c r="BH20" s="68">
        <v>0.30403999999999998</v>
      </c>
      <c r="BI20" s="68">
        <v>0.31198999999999999</v>
      </c>
      <c r="BJ20" s="68">
        <v>0.32012000000000002</v>
      </c>
      <c r="BK20" s="68">
        <v>0.32840000000000003</v>
      </c>
      <c r="BL20" s="68">
        <v>0.33683999999999997</v>
      </c>
      <c r="BM20" s="68">
        <v>0.34543000000000001</v>
      </c>
      <c r="BN20" s="68">
        <v>0.35415999999999997</v>
      </c>
      <c r="BO20" s="68">
        <v>0.36303000000000002</v>
      </c>
      <c r="BP20" s="68">
        <v>0.37204999999999999</v>
      </c>
      <c r="BQ20" s="68">
        <v>0.38123000000000001</v>
      </c>
      <c r="BR20" s="68">
        <v>0.39056999999999997</v>
      </c>
      <c r="BS20" s="68">
        <v>0.40007999999999999</v>
      </c>
      <c r="BT20" s="68">
        <v>0.40977000000000002</v>
      </c>
      <c r="BU20" s="70">
        <v>0.41963</v>
      </c>
      <c r="BV20" s="70">
        <v>0.42967</v>
      </c>
      <c r="BW20" s="70">
        <v>0.43986999999999998</v>
      </c>
      <c r="BX20" s="70">
        <v>0.45024999999999998</v>
      </c>
      <c r="BY20" s="70">
        <v>0.46078999999999998</v>
      </c>
      <c r="BZ20" s="70">
        <v>0.47149000000000002</v>
      </c>
      <c r="CA20" s="70">
        <v>0.48232999999999998</v>
      </c>
      <c r="CB20" s="70">
        <v>0.49332999999999999</v>
      </c>
      <c r="CC20" s="70">
        <v>0.50448999999999999</v>
      </c>
      <c r="CD20" s="70">
        <v>0.51585000000000003</v>
      </c>
      <c r="CE20" s="70">
        <v>0.52742999999999995</v>
      </c>
      <c r="CF20" s="70">
        <v>0.53924000000000005</v>
      </c>
      <c r="CG20" s="70">
        <v>0.55128999999999995</v>
      </c>
      <c r="CH20" s="70">
        <v>0.56355</v>
      </c>
      <c r="CI20" s="70">
        <v>0.57599</v>
      </c>
      <c r="CJ20" s="70">
        <v>0.58853999999999995</v>
      </c>
      <c r="CK20" s="70">
        <v>0.60116000000000003</v>
      </c>
      <c r="CL20" s="70">
        <v>0.61382000000000003</v>
      </c>
      <c r="CM20" s="70">
        <v>0.62653000000000003</v>
      </c>
      <c r="CN20" s="70">
        <v>0.63929999999999998</v>
      </c>
      <c r="CO20" s="70">
        <v>0.65217000000000003</v>
      </c>
      <c r="CP20" s="70">
        <v>0.66517000000000004</v>
      </c>
      <c r="CQ20" s="70">
        <v>0.67830000000000001</v>
      </c>
      <c r="CR20" s="70">
        <v>0.6915</v>
      </c>
      <c r="CS20" s="70">
        <v>0.70470999999999995</v>
      </c>
      <c r="CT20" s="70">
        <v>0.71782000000000001</v>
      </c>
      <c r="CU20" s="70">
        <v>0.73073999999999995</v>
      </c>
      <c r="CV20" s="70">
        <v>0.74341000000000002</v>
      </c>
      <c r="CW20" s="70">
        <v>0.75580999999999998</v>
      </c>
      <c r="CX20" s="70">
        <v>0.76793999999999996</v>
      </c>
      <c r="CY20" s="70">
        <v>0.77981</v>
      </c>
      <c r="CZ20" s="70">
        <v>0.79146000000000005</v>
      </c>
      <c r="DA20" s="70">
        <v>0.80286999999999997</v>
      </c>
      <c r="DB20" s="70">
        <v>0.81399999999999995</v>
      </c>
      <c r="DC20" s="70">
        <v>0.82477999999999996</v>
      </c>
      <c r="DD20" s="70">
        <v>0.83513999999999999</v>
      </c>
      <c r="DE20" s="70">
        <v>0.84502999999999995</v>
      </c>
    </row>
    <row r="21" spans="1:109" ht="21" x14ac:dyDescent="0.4">
      <c r="A21" s="66"/>
      <c r="B21" s="66"/>
      <c r="C21" s="66"/>
      <c r="D21" s="61">
        <v>21</v>
      </c>
      <c r="E21" s="67">
        <v>0.33487</v>
      </c>
      <c r="F21" s="67">
        <v>0.34356999999999999</v>
      </c>
      <c r="G21" s="67">
        <v>0.35248000000000002</v>
      </c>
      <c r="H21" s="67">
        <v>0.36157</v>
      </c>
      <c r="I21" s="67">
        <v>0.37085000000000001</v>
      </c>
      <c r="J21" s="67">
        <v>0.38030999999999998</v>
      </c>
      <c r="K21" s="67">
        <v>0.38995000000000002</v>
      </c>
      <c r="L21" s="67">
        <v>0.39976000000000012</v>
      </c>
      <c r="M21" s="67">
        <v>0.4097400000000001</v>
      </c>
      <c r="N21" s="67">
        <v>0.41988000000000014</v>
      </c>
      <c r="O21" s="67">
        <v>0.43018000000000012</v>
      </c>
      <c r="P21" s="67">
        <v>0.4406400000000002</v>
      </c>
      <c r="Q21" s="67">
        <v>0.45126000000000011</v>
      </c>
      <c r="R21" s="67">
        <v>0.46204000000000012</v>
      </c>
      <c r="S21" s="67">
        <v>0.47299000000000008</v>
      </c>
      <c r="T21" s="67">
        <v>0.48410000000000014</v>
      </c>
      <c r="U21" s="67">
        <v>0.49536000000000013</v>
      </c>
      <c r="V21" s="67">
        <v>0.50677000000000016</v>
      </c>
      <c r="W21" s="67">
        <v>0.51830000000000009</v>
      </c>
      <c r="X21" s="68">
        <v>0.52993000000000012</v>
      </c>
      <c r="Y21" s="68">
        <v>0.54165000000000019</v>
      </c>
      <c r="Z21" s="68">
        <v>0.5534300000000002</v>
      </c>
      <c r="AA21" s="68">
        <v>0.5652600000000001</v>
      </c>
      <c r="AB21" s="68">
        <v>0.57716000000000023</v>
      </c>
      <c r="AC21" s="68">
        <v>0.5891200000000002</v>
      </c>
      <c r="AD21" s="68">
        <v>0.60114000000000012</v>
      </c>
      <c r="AE21" s="69">
        <v>0.61320000000000019</v>
      </c>
      <c r="AF21" s="68">
        <v>0.62531000000000014</v>
      </c>
      <c r="AG21" s="68">
        <v>0.63741000000000014</v>
      </c>
      <c r="AH21" s="68">
        <v>0.64948000000000028</v>
      </c>
      <c r="AI21" s="68">
        <v>0.66148000000000018</v>
      </c>
      <c r="AJ21" s="68">
        <v>0.67340000000000022</v>
      </c>
      <c r="AK21" s="68">
        <v>0.68522000000000016</v>
      </c>
      <c r="AL21" s="68">
        <v>0.69695000000000018</v>
      </c>
      <c r="AM21" s="68">
        <v>0.70860000000000023</v>
      </c>
      <c r="AN21" s="68">
        <v>0.72016000000000013</v>
      </c>
      <c r="AO21" s="68">
        <v>0.73162000000000027</v>
      </c>
      <c r="AP21" s="68">
        <v>0.7429300000000002</v>
      </c>
      <c r="AQ21" s="68">
        <v>0.75405000000000022</v>
      </c>
      <c r="AR21" s="68">
        <v>0.76489000000000018</v>
      </c>
      <c r="AS21" s="68">
        <v>0.77541000000000015</v>
      </c>
      <c r="AT21" s="68">
        <v>0.78557000000000021</v>
      </c>
      <c r="AU21" s="68">
        <v>0.79538000000000031</v>
      </c>
      <c r="AV21" s="68">
        <v>0.80486000000000024</v>
      </c>
      <c r="AW21" s="68">
        <v>0.81406000000000023</v>
      </c>
      <c r="AX21" s="68">
        <v>0.82303000000000026</v>
      </c>
      <c r="AY21" s="68">
        <v>0.8317800000000003</v>
      </c>
      <c r="AZ21" s="68">
        <v>0.8402900000000002</v>
      </c>
      <c r="BA21" s="68">
        <v>0.84852000000000027</v>
      </c>
      <c r="BB21" s="68">
        <v>0.85640000000000016</v>
      </c>
      <c r="BC21" s="68">
        <v>0.86387000000000025</v>
      </c>
      <c r="BD21" s="68">
        <v>0.87092000000000014</v>
      </c>
      <c r="BE21" s="68"/>
      <c r="BF21" s="68">
        <v>0.29626999999999998</v>
      </c>
      <c r="BG21" s="68">
        <v>0.30403999999999998</v>
      </c>
      <c r="BH21" s="68">
        <v>0.31198999999999999</v>
      </c>
      <c r="BI21" s="68">
        <v>0.32012000000000002</v>
      </c>
      <c r="BJ21" s="68">
        <v>0.32840000000000003</v>
      </c>
      <c r="BK21" s="68">
        <v>0.33683999999999997</v>
      </c>
      <c r="BL21" s="68">
        <v>0.34543000000000001</v>
      </c>
      <c r="BM21" s="68">
        <v>0.35415999999999997</v>
      </c>
      <c r="BN21" s="68">
        <v>0.36303000000000002</v>
      </c>
      <c r="BO21" s="68">
        <v>0.37204999999999999</v>
      </c>
      <c r="BP21" s="68">
        <v>0.38123000000000001</v>
      </c>
      <c r="BQ21" s="68">
        <v>0.39056999999999997</v>
      </c>
      <c r="BR21" s="68">
        <v>0.40007999999999999</v>
      </c>
      <c r="BS21" s="68">
        <v>0.40977000000000002</v>
      </c>
      <c r="BT21" s="68">
        <v>0.41963</v>
      </c>
      <c r="BU21" s="70">
        <v>0.42967</v>
      </c>
      <c r="BV21" s="70">
        <v>0.43986999999999998</v>
      </c>
      <c r="BW21" s="70">
        <v>0.45024999999999998</v>
      </c>
      <c r="BX21" s="70">
        <v>0.46078999999999998</v>
      </c>
      <c r="BY21" s="70">
        <v>0.47149000000000002</v>
      </c>
      <c r="BZ21" s="70">
        <v>0.48232999999999998</v>
      </c>
      <c r="CA21" s="70">
        <v>0.49332999999999999</v>
      </c>
      <c r="CB21" s="70">
        <v>0.50448999999999999</v>
      </c>
      <c r="CC21" s="70">
        <v>0.51585000000000003</v>
      </c>
      <c r="CD21" s="70">
        <v>0.52742999999999995</v>
      </c>
      <c r="CE21" s="70">
        <v>0.53924000000000005</v>
      </c>
      <c r="CF21" s="70">
        <v>0.55128999999999995</v>
      </c>
      <c r="CG21" s="70">
        <v>0.56355</v>
      </c>
      <c r="CH21" s="70">
        <v>0.57599</v>
      </c>
      <c r="CI21" s="70">
        <v>0.58853999999999995</v>
      </c>
      <c r="CJ21" s="70">
        <v>0.60116000000000003</v>
      </c>
      <c r="CK21" s="70">
        <v>0.61382000000000003</v>
      </c>
      <c r="CL21" s="70">
        <v>0.62653000000000003</v>
      </c>
      <c r="CM21" s="70">
        <v>0.63929999999999998</v>
      </c>
      <c r="CN21" s="70">
        <v>0.65217000000000003</v>
      </c>
      <c r="CO21" s="70">
        <v>0.66517000000000004</v>
      </c>
      <c r="CP21" s="70">
        <v>0.67830000000000001</v>
      </c>
      <c r="CQ21" s="70">
        <v>0.6915</v>
      </c>
      <c r="CR21" s="70">
        <v>0.70470999999999995</v>
      </c>
      <c r="CS21" s="70">
        <v>0.71782000000000001</v>
      </c>
      <c r="CT21" s="70">
        <v>0.73073999999999995</v>
      </c>
      <c r="CU21" s="70">
        <v>0.74341000000000002</v>
      </c>
      <c r="CV21" s="70">
        <v>0.75580999999999998</v>
      </c>
      <c r="CW21" s="70">
        <v>0.76793999999999996</v>
      </c>
      <c r="CX21" s="70">
        <v>0.77981</v>
      </c>
      <c r="CY21" s="70">
        <v>0.79146000000000005</v>
      </c>
      <c r="CZ21" s="70">
        <v>0.80286999999999997</v>
      </c>
      <c r="DA21" s="70">
        <v>0.81399999999999995</v>
      </c>
      <c r="DB21" s="70">
        <v>0.82477999999999996</v>
      </c>
      <c r="DC21" s="70">
        <v>0.83513999999999999</v>
      </c>
      <c r="DD21" s="70">
        <v>0.84502999999999995</v>
      </c>
      <c r="DE21" s="70">
        <v>0.85441999999999996</v>
      </c>
    </row>
    <row r="22" spans="1:109" ht="21" x14ac:dyDescent="0.4">
      <c r="A22" s="66"/>
      <c r="B22" s="66"/>
      <c r="C22" s="66"/>
      <c r="D22" s="61">
        <v>22</v>
      </c>
      <c r="E22" s="67">
        <v>0.34356999999999999</v>
      </c>
      <c r="F22" s="67">
        <v>0.35248000000000002</v>
      </c>
      <c r="G22" s="67">
        <v>0.36157</v>
      </c>
      <c r="H22" s="67">
        <v>0.37085000000000001</v>
      </c>
      <c r="I22" s="67">
        <v>0.38030999999999998</v>
      </c>
      <c r="J22" s="67">
        <v>0.38995000000000002</v>
      </c>
      <c r="K22" s="67">
        <v>0.39976000000000012</v>
      </c>
      <c r="L22" s="67">
        <v>0.4097400000000001</v>
      </c>
      <c r="M22" s="67">
        <v>0.41988000000000014</v>
      </c>
      <c r="N22" s="67">
        <v>0.43018000000000012</v>
      </c>
      <c r="O22" s="67">
        <v>0.4406400000000002</v>
      </c>
      <c r="P22" s="67">
        <v>0.45126000000000011</v>
      </c>
      <c r="Q22" s="67">
        <v>0.46204000000000012</v>
      </c>
      <c r="R22" s="67">
        <v>0.47299000000000008</v>
      </c>
      <c r="S22" s="67">
        <v>0.48410000000000014</v>
      </c>
      <c r="T22" s="67">
        <v>0.49536000000000019</v>
      </c>
      <c r="U22" s="67">
        <v>0.50677000000000016</v>
      </c>
      <c r="V22" s="67">
        <v>0.5183000000000002</v>
      </c>
      <c r="W22" s="67">
        <v>0.52993000000000023</v>
      </c>
      <c r="X22" s="68">
        <v>0.54165000000000008</v>
      </c>
      <c r="Y22" s="68">
        <v>0.5534300000000002</v>
      </c>
      <c r="Z22" s="68">
        <v>0.56526000000000021</v>
      </c>
      <c r="AA22" s="68">
        <v>0.57716000000000012</v>
      </c>
      <c r="AB22" s="68">
        <v>0.5891200000000002</v>
      </c>
      <c r="AC22" s="68">
        <v>0.60114000000000023</v>
      </c>
      <c r="AD22" s="68">
        <v>0.61320000000000019</v>
      </c>
      <c r="AE22" s="69">
        <v>0.62531000000000014</v>
      </c>
      <c r="AF22" s="68">
        <v>0.63741000000000025</v>
      </c>
      <c r="AG22" s="68">
        <v>0.64948000000000017</v>
      </c>
      <c r="AH22" s="68">
        <v>0.66148000000000018</v>
      </c>
      <c r="AI22" s="68">
        <v>0.67340000000000022</v>
      </c>
      <c r="AJ22" s="68">
        <v>0.68522000000000016</v>
      </c>
      <c r="AK22" s="68">
        <v>0.69695000000000018</v>
      </c>
      <c r="AL22" s="68">
        <v>0.70860000000000023</v>
      </c>
      <c r="AM22" s="68">
        <v>0.72016000000000024</v>
      </c>
      <c r="AN22" s="68">
        <v>0.73162000000000027</v>
      </c>
      <c r="AO22" s="68">
        <v>0.7429300000000002</v>
      </c>
      <c r="AP22" s="68">
        <v>0.75405000000000022</v>
      </c>
      <c r="AQ22" s="68">
        <v>0.76489000000000018</v>
      </c>
      <c r="AR22" s="68">
        <v>0.77541000000000027</v>
      </c>
      <c r="AS22" s="68">
        <v>0.78557000000000021</v>
      </c>
      <c r="AT22" s="68">
        <v>0.7953800000000002</v>
      </c>
      <c r="AU22" s="68">
        <v>0.80486000000000024</v>
      </c>
      <c r="AV22" s="68">
        <v>0.81406000000000023</v>
      </c>
      <c r="AW22" s="68">
        <v>0.82303000000000026</v>
      </c>
      <c r="AX22" s="68">
        <v>0.83178000000000019</v>
      </c>
      <c r="AY22" s="68">
        <v>0.8402900000000002</v>
      </c>
      <c r="AZ22" s="68">
        <v>0.84852000000000016</v>
      </c>
      <c r="BA22" s="68">
        <v>0.85640000000000027</v>
      </c>
      <c r="BB22" s="68">
        <v>0.86387000000000025</v>
      </c>
      <c r="BC22" s="68">
        <v>0.87092000000000036</v>
      </c>
      <c r="BD22" s="68">
        <v>0.8775900000000002</v>
      </c>
      <c r="BE22" s="68"/>
      <c r="BF22" s="68">
        <v>0.30403999999999998</v>
      </c>
      <c r="BG22" s="68">
        <v>0.31198999999999999</v>
      </c>
      <c r="BH22" s="68">
        <v>0.32012000000000002</v>
      </c>
      <c r="BI22" s="68">
        <v>0.32840000000000003</v>
      </c>
      <c r="BJ22" s="68">
        <v>0.33683999999999997</v>
      </c>
      <c r="BK22" s="68">
        <v>0.34543000000000001</v>
      </c>
      <c r="BL22" s="68">
        <v>0.35415999999999997</v>
      </c>
      <c r="BM22" s="68">
        <v>0.36303000000000002</v>
      </c>
      <c r="BN22" s="68">
        <v>0.37204999999999999</v>
      </c>
      <c r="BO22" s="68">
        <v>0.38123000000000001</v>
      </c>
      <c r="BP22" s="68">
        <v>0.39056999999999997</v>
      </c>
      <c r="BQ22" s="68">
        <v>0.40007999999999999</v>
      </c>
      <c r="BR22" s="68">
        <v>0.40977000000000002</v>
      </c>
      <c r="BS22" s="68">
        <v>0.41963</v>
      </c>
      <c r="BT22" s="68">
        <v>0.42967</v>
      </c>
      <c r="BU22" s="70">
        <v>0.43986999999999998</v>
      </c>
      <c r="BV22" s="70">
        <v>0.45024999999999998</v>
      </c>
      <c r="BW22" s="70">
        <v>0.46078999999999998</v>
      </c>
      <c r="BX22" s="70">
        <v>0.47149000000000002</v>
      </c>
      <c r="BY22" s="70">
        <v>0.48232999999999998</v>
      </c>
      <c r="BZ22" s="70">
        <v>0.49332999999999999</v>
      </c>
      <c r="CA22" s="70">
        <v>0.50448999999999999</v>
      </c>
      <c r="CB22" s="70">
        <v>0.51585000000000003</v>
      </c>
      <c r="CC22" s="70">
        <v>0.52742999999999995</v>
      </c>
      <c r="CD22" s="70">
        <v>0.53924000000000005</v>
      </c>
      <c r="CE22" s="70">
        <v>0.55128999999999995</v>
      </c>
      <c r="CF22" s="70">
        <v>0.56355</v>
      </c>
      <c r="CG22" s="70">
        <v>0.57599</v>
      </c>
      <c r="CH22" s="70">
        <v>0.58853999999999995</v>
      </c>
      <c r="CI22" s="70">
        <v>0.60116000000000003</v>
      </c>
      <c r="CJ22" s="70">
        <v>0.61382000000000003</v>
      </c>
      <c r="CK22" s="70">
        <v>0.62653000000000003</v>
      </c>
      <c r="CL22" s="70">
        <v>0.63929999999999998</v>
      </c>
      <c r="CM22" s="70">
        <v>0.65217000000000003</v>
      </c>
      <c r="CN22" s="70">
        <v>0.66517000000000004</v>
      </c>
      <c r="CO22" s="70">
        <v>0.67830000000000001</v>
      </c>
      <c r="CP22" s="70">
        <v>0.6915</v>
      </c>
      <c r="CQ22" s="70">
        <v>0.70470999999999995</v>
      </c>
      <c r="CR22" s="70">
        <v>0.71782000000000001</v>
      </c>
      <c r="CS22" s="70">
        <v>0.73073999999999995</v>
      </c>
      <c r="CT22" s="70">
        <v>0.74341000000000002</v>
      </c>
      <c r="CU22" s="70">
        <v>0.75580999999999998</v>
      </c>
      <c r="CV22" s="70">
        <v>0.76793999999999996</v>
      </c>
      <c r="CW22" s="70">
        <v>0.77981</v>
      </c>
      <c r="CX22" s="70">
        <v>0.79146000000000005</v>
      </c>
      <c r="CY22" s="70">
        <v>0.80286999999999997</v>
      </c>
      <c r="CZ22" s="70">
        <v>0.81399999999999995</v>
      </c>
      <c r="DA22" s="70">
        <v>0.82477999999999996</v>
      </c>
      <c r="DB22" s="70">
        <v>0.83513999999999999</v>
      </c>
      <c r="DC22" s="70">
        <v>0.84502999999999995</v>
      </c>
      <c r="DD22" s="70">
        <v>0.85441999999999996</v>
      </c>
      <c r="DE22" s="70">
        <v>0.86334</v>
      </c>
    </row>
    <row r="23" spans="1:109" ht="21" x14ac:dyDescent="0.4">
      <c r="A23" s="66"/>
      <c r="B23" s="66"/>
      <c r="C23" s="66"/>
      <c r="D23" s="61">
        <v>23</v>
      </c>
      <c r="E23" s="67">
        <v>0.35248000000000002</v>
      </c>
      <c r="F23" s="67">
        <v>0.36157</v>
      </c>
      <c r="G23" s="67">
        <v>0.37085000000000001</v>
      </c>
      <c r="H23" s="67">
        <v>0.38030999999999998</v>
      </c>
      <c r="I23" s="67">
        <v>0.38995000000000002</v>
      </c>
      <c r="J23" s="67">
        <v>0.39976000000000012</v>
      </c>
      <c r="K23" s="67">
        <v>0.4097400000000001</v>
      </c>
      <c r="L23" s="67">
        <v>0.41988000000000014</v>
      </c>
      <c r="M23" s="67">
        <v>0.43018000000000012</v>
      </c>
      <c r="N23" s="67">
        <v>0.4406400000000002</v>
      </c>
      <c r="O23" s="67">
        <v>0.45126000000000011</v>
      </c>
      <c r="P23" s="67">
        <v>0.46204000000000012</v>
      </c>
      <c r="Q23" s="67">
        <v>0.47299000000000008</v>
      </c>
      <c r="R23" s="67">
        <v>0.48410000000000014</v>
      </c>
      <c r="S23" s="67">
        <v>0.49536000000000019</v>
      </c>
      <c r="T23" s="67">
        <v>0.50677000000000016</v>
      </c>
      <c r="U23" s="67">
        <v>0.5183000000000002</v>
      </c>
      <c r="V23" s="67">
        <v>0.52993000000000023</v>
      </c>
      <c r="W23" s="67">
        <v>0.54165000000000019</v>
      </c>
      <c r="X23" s="68">
        <v>0.55343000000000031</v>
      </c>
      <c r="Y23" s="68">
        <v>0.56526000000000021</v>
      </c>
      <c r="Z23" s="68">
        <v>0.57716000000000023</v>
      </c>
      <c r="AA23" s="68">
        <v>0.58912000000000031</v>
      </c>
      <c r="AB23" s="68">
        <v>0.60114000000000023</v>
      </c>
      <c r="AC23" s="68">
        <v>0.6132000000000003</v>
      </c>
      <c r="AD23" s="68">
        <v>0.62531000000000025</v>
      </c>
      <c r="AE23" s="69">
        <v>0.63741000000000025</v>
      </c>
      <c r="AF23" s="68">
        <v>0.64948000000000028</v>
      </c>
      <c r="AG23" s="68">
        <v>0.66148000000000029</v>
      </c>
      <c r="AH23" s="68">
        <v>0.67340000000000033</v>
      </c>
      <c r="AI23" s="68">
        <v>0.68522000000000027</v>
      </c>
      <c r="AJ23" s="68">
        <v>0.69695000000000029</v>
      </c>
      <c r="AK23" s="68">
        <v>0.70860000000000034</v>
      </c>
      <c r="AL23" s="68">
        <v>0.72016000000000036</v>
      </c>
      <c r="AM23" s="68">
        <v>0.73162000000000027</v>
      </c>
      <c r="AN23" s="68">
        <v>0.74293000000000031</v>
      </c>
      <c r="AO23" s="68">
        <v>0.75405000000000033</v>
      </c>
      <c r="AP23" s="68">
        <v>0.76489000000000029</v>
      </c>
      <c r="AQ23" s="68">
        <v>0.77541000000000027</v>
      </c>
      <c r="AR23" s="68">
        <v>0.78557000000000032</v>
      </c>
      <c r="AS23" s="68">
        <v>0.79538000000000031</v>
      </c>
      <c r="AT23" s="68">
        <v>0.80486000000000035</v>
      </c>
      <c r="AU23" s="68">
        <v>0.81406000000000034</v>
      </c>
      <c r="AV23" s="68">
        <v>0.82303000000000026</v>
      </c>
      <c r="AW23" s="68">
        <v>0.8317800000000003</v>
      </c>
      <c r="AX23" s="68">
        <v>0.84029000000000043</v>
      </c>
      <c r="AY23" s="68">
        <v>0.84852000000000039</v>
      </c>
      <c r="AZ23" s="68">
        <v>0.85640000000000027</v>
      </c>
      <c r="BA23" s="68">
        <v>0.86387000000000047</v>
      </c>
      <c r="BB23" s="68">
        <v>0.87092000000000036</v>
      </c>
      <c r="BC23" s="68">
        <v>0.87759000000000031</v>
      </c>
      <c r="BD23" s="68">
        <v>0.88393000000000033</v>
      </c>
      <c r="BE23" s="68"/>
      <c r="BF23" s="68">
        <v>0.31198999999999999</v>
      </c>
      <c r="BG23" s="68">
        <v>0.32012000000000002</v>
      </c>
      <c r="BH23" s="68">
        <v>0.32840000000000003</v>
      </c>
      <c r="BI23" s="68">
        <v>0.33683999999999997</v>
      </c>
      <c r="BJ23" s="68">
        <v>0.34543000000000001</v>
      </c>
      <c r="BK23" s="68">
        <v>0.35415999999999997</v>
      </c>
      <c r="BL23" s="68">
        <v>0.36303000000000002</v>
      </c>
      <c r="BM23" s="68">
        <v>0.37204999999999999</v>
      </c>
      <c r="BN23" s="68">
        <v>0.38123000000000001</v>
      </c>
      <c r="BO23" s="68">
        <v>0.39056999999999997</v>
      </c>
      <c r="BP23" s="68">
        <v>0.40007999999999999</v>
      </c>
      <c r="BQ23" s="68">
        <v>0.40977000000000002</v>
      </c>
      <c r="BR23" s="68">
        <v>0.41963</v>
      </c>
      <c r="BS23" s="68">
        <v>0.42967</v>
      </c>
      <c r="BT23" s="68">
        <v>0.43986999999999998</v>
      </c>
      <c r="BU23" s="70">
        <v>0.45024999999999998</v>
      </c>
      <c r="BV23" s="70">
        <v>0.46078999999999998</v>
      </c>
      <c r="BW23" s="70">
        <v>0.47149000000000002</v>
      </c>
      <c r="BX23" s="70">
        <v>0.48232999999999998</v>
      </c>
      <c r="BY23" s="70">
        <v>0.49332999999999999</v>
      </c>
      <c r="BZ23" s="70">
        <v>0.50448999999999999</v>
      </c>
      <c r="CA23" s="70">
        <v>0.51585000000000003</v>
      </c>
      <c r="CB23" s="70">
        <v>0.52742999999999995</v>
      </c>
      <c r="CC23" s="70">
        <v>0.53924000000000005</v>
      </c>
      <c r="CD23" s="70">
        <v>0.55128999999999995</v>
      </c>
      <c r="CE23" s="70">
        <v>0.56355</v>
      </c>
      <c r="CF23" s="70">
        <v>0.57599</v>
      </c>
      <c r="CG23" s="70">
        <v>0.58853999999999995</v>
      </c>
      <c r="CH23" s="70">
        <v>0.60116000000000003</v>
      </c>
      <c r="CI23" s="70">
        <v>0.61382000000000003</v>
      </c>
      <c r="CJ23" s="70">
        <v>0.62653000000000003</v>
      </c>
      <c r="CK23" s="70">
        <v>0.63929999999999998</v>
      </c>
      <c r="CL23" s="70">
        <v>0.65217000000000003</v>
      </c>
      <c r="CM23" s="70">
        <v>0.66517000000000004</v>
      </c>
      <c r="CN23" s="70">
        <v>0.67830000000000001</v>
      </c>
      <c r="CO23" s="70">
        <v>0.6915</v>
      </c>
      <c r="CP23" s="70">
        <v>0.70470999999999995</v>
      </c>
      <c r="CQ23" s="70">
        <v>0.71782000000000001</v>
      </c>
      <c r="CR23" s="70">
        <v>0.73073999999999995</v>
      </c>
      <c r="CS23" s="70">
        <v>0.74341000000000002</v>
      </c>
      <c r="CT23" s="70">
        <v>0.75580999999999998</v>
      </c>
      <c r="CU23" s="70">
        <v>0.76793999999999996</v>
      </c>
      <c r="CV23" s="70">
        <v>0.77981</v>
      </c>
      <c r="CW23" s="70">
        <v>0.79146000000000005</v>
      </c>
      <c r="CX23" s="70">
        <v>0.80286999999999997</v>
      </c>
      <c r="CY23" s="70">
        <v>0.81399999999999995</v>
      </c>
      <c r="CZ23" s="70">
        <v>0.82477999999999996</v>
      </c>
      <c r="DA23" s="70">
        <v>0.83513999999999999</v>
      </c>
      <c r="DB23" s="70">
        <v>0.84502999999999995</v>
      </c>
      <c r="DC23" s="70">
        <v>0.85441999999999996</v>
      </c>
      <c r="DD23" s="70">
        <v>0.86334</v>
      </c>
      <c r="DE23" s="70">
        <v>0.87182999999999999</v>
      </c>
    </row>
    <row r="24" spans="1:109" ht="21" x14ac:dyDescent="0.4">
      <c r="A24" s="66"/>
      <c r="B24" s="66"/>
      <c r="C24" s="66"/>
      <c r="D24" s="61">
        <v>24</v>
      </c>
      <c r="E24" s="67">
        <v>0.36157</v>
      </c>
      <c r="F24" s="67">
        <v>0.37085000000000001</v>
      </c>
      <c r="G24" s="67">
        <v>0.38030999999999998</v>
      </c>
      <c r="H24" s="67">
        <v>0.38995000000000002</v>
      </c>
      <c r="I24" s="67">
        <v>0.39976000000000012</v>
      </c>
      <c r="J24" s="67">
        <v>0.4097400000000001</v>
      </c>
      <c r="K24" s="67">
        <v>0.41988000000000014</v>
      </c>
      <c r="L24" s="67">
        <v>0.43018000000000012</v>
      </c>
      <c r="M24" s="67">
        <v>0.4406400000000002</v>
      </c>
      <c r="N24" s="67">
        <v>0.45126000000000011</v>
      </c>
      <c r="O24" s="67">
        <v>0.46204000000000012</v>
      </c>
      <c r="P24" s="67">
        <v>0.47299000000000008</v>
      </c>
      <c r="Q24" s="67">
        <v>0.48410000000000014</v>
      </c>
      <c r="R24" s="67">
        <v>0.49536000000000019</v>
      </c>
      <c r="S24" s="67">
        <v>0.50677000000000016</v>
      </c>
      <c r="T24" s="67">
        <v>0.5183000000000002</v>
      </c>
      <c r="U24" s="67">
        <v>0.52993000000000023</v>
      </c>
      <c r="V24" s="67">
        <v>0.54165000000000019</v>
      </c>
      <c r="W24" s="67">
        <v>0.5534300000000002</v>
      </c>
      <c r="X24" s="68">
        <v>0.56526000000000021</v>
      </c>
      <c r="Y24" s="68">
        <v>0.57716000000000023</v>
      </c>
      <c r="Z24" s="68">
        <v>0.5891200000000002</v>
      </c>
      <c r="AA24" s="68">
        <v>0.60114000000000023</v>
      </c>
      <c r="AB24" s="68">
        <v>0.61320000000000019</v>
      </c>
      <c r="AC24" s="68">
        <v>0.62531000000000025</v>
      </c>
      <c r="AD24" s="68">
        <v>0.63741000000000025</v>
      </c>
      <c r="AE24" s="69">
        <v>0.64948000000000028</v>
      </c>
      <c r="AF24" s="68">
        <v>0.66148000000000029</v>
      </c>
      <c r="AG24" s="68">
        <v>0.67340000000000022</v>
      </c>
      <c r="AH24" s="68">
        <v>0.68522000000000027</v>
      </c>
      <c r="AI24" s="68">
        <v>0.69695000000000029</v>
      </c>
      <c r="AJ24" s="68">
        <v>0.70860000000000023</v>
      </c>
      <c r="AK24" s="68">
        <v>0.72016000000000036</v>
      </c>
      <c r="AL24" s="68">
        <v>0.73162000000000027</v>
      </c>
      <c r="AM24" s="68">
        <v>0.7429300000000002</v>
      </c>
      <c r="AN24" s="68">
        <v>0.75405000000000033</v>
      </c>
      <c r="AO24" s="68">
        <v>0.76489000000000018</v>
      </c>
      <c r="AP24" s="68">
        <v>0.77541000000000027</v>
      </c>
      <c r="AQ24" s="68">
        <v>0.78557000000000032</v>
      </c>
      <c r="AR24" s="68">
        <v>0.79538000000000031</v>
      </c>
      <c r="AS24" s="68">
        <v>0.80486000000000035</v>
      </c>
      <c r="AT24" s="68">
        <v>0.81406000000000034</v>
      </c>
      <c r="AU24" s="68">
        <v>0.82303000000000037</v>
      </c>
      <c r="AV24" s="68">
        <v>0.8317800000000003</v>
      </c>
      <c r="AW24" s="68">
        <v>0.84029000000000031</v>
      </c>
      <c r="AX24" s="68">
        <v>0.84852000000000027</v>
      </c>
      <c r="AY24" s="68">
        <v>0.85640000000000027</v>
      </c>
      <c r="AZ24" s="68">
        <v>0.86387000000000036</v>
      </c>
      <c r="BA24" s="68">
        <v>0.87092000000000036</v>
      </c>
      <c r="BB24" s="68">
        <v>0.87759000000000031</v>
      </c>
      <c r="BC24" s="68">
        <v>0.88393000000000044</v>
      </c>
      <c r="BD24" s="68">
        <v>0.89002000000000037</v>
      </c>
      <c r="BE24" s="68"/>
      <c r="BF24" s="68">
        <v>0.32012000000000002</v>
      </c>
      <c r="BG24" s="68">
        <v>0.32840000000000003</v>
      </c>
      <c r="BH24" s="68">
        <v>0.33683999999999997</v>
      </c>
      <c r="BI24" s="68">
        <v>0.34543000000000001</v>
      </c>
      <c r="BJ24" s="68">
        <v>0.35415999999999997</v>
      </c>
      <c r="BK24" s="68">
        <v>0.36303000000000002</v>
      </c>
      <c r="BL24" s="68">
        <v>0.37204999999999999</v>
      </c>
      <c r="BM24" s="68">
        <v>0.38123000000000001</v>
      </c>
      <c r="BN24" s="68">
        <v>0.39056999999999997</v>
      </c>
      <c r="BO24" s="68">
        <v>0.40007999999999999</v>
      </c>
      <c r="BP24" s="68">
        <v>0.40977000000000002</v>
      </c>
      <c r="BQ24" s="68">
        <v>0.41963</v>
      </c>
      <c r="BR24" s="68">
        <v>0.42967</v>
      </c>
      <c r="BS24" s="68">
        <v>0.43986999999999998</v>
      </c>
      <c r="BT24" s="68">
        <v>0.45024999999999998</v>
      </c>
      <c r="BU24" s="70">
        <v>0.46078999999999998</v>
      </c>
      <c r="BV24" s="70">
        <v>0.47149000000000002</v>
      </c>
      <c r="BW24" s="70">
        <v>0.48232999999999998</v>
      </c>
      <c r="BX24" s="70">
        <v>0.49332999999999999</v>
      </c>
      <c r="BY24" s="70">
        <v>0.50448999999999999</v>
      </c>
      <c r="BZ24" s="70">
        <v>0.51585000000000003</v>
      </c>
      <c r="CA24" s="70">
        <v>0.52742999999999995</v>
      </c>
      <c r="CB24" s="70">
        <v>0.53924000000000005</v>
      </c>
      <c r="CC24" s="70">
        <v>0.55128999999999995</v>
      </c>
      <c r="CD24" s="70">
        <v>0.56355</v>
      </c>
      <c r="CE24" s="70">
        <v>0.57599</v>
      </c>
      <c r="CF24" s="70">
        <v>0.58853999999999995</v>
      </c>
      <c r="CG24" s="70">
        <v>0.60116000000000003</v>
      </c>
      <c r="CH24" s="70">
        <v>0.61382000000000003</v>
      </c>
      <c r="CI24" s="70">
        <v>0.62653000000000003</v>
      </c>
      <c r="CJ24" s="70">
        <v>0.63929999999999998</v>
      </c>
      <c r="CK24" s="70">
        <v>0.65217000000000003</v>
      </c>
      <c r="CL24" s="70">
        <v>0.66517000000000004</v>
      </c>
      <c r="CM24" s="70">
        <v>0.67830000000000001</v>
      </c>
      <c r="CN24" s="70">
        <v>0.6915</v>
      </c>
      <c r="CO24" s="70">
        <v>0.70470999999999995</v>
      </c>
      <c r="CP24" s="70">
        <v>0.71782000000000001</v>
      </c>
      <c r="CQ24" s="70">
        <v>0.73073999999999995</v>
      </c>
      <c r="CR24" s="70">
        <v>0.74341000000000002</v>
      </c>
      <c r="CS24" s="70">
        <v>0.75580999999999998</v>
      </c>
      <c r="CT24" s="70">
        <v>0.76793999999999996</v>
      </c>
      <c r="CU24" s="70">
        <v>0.77981</v>
      </c>
      <c r="CV24" s="70">
        <v>0.79146000000000005</v>
      </c>
      <c r="CW24" s="70">
        <v>0.80286999999999997</v>
      </c>
      <c r="CX24" s="70">
        <v>0.81399999999999995</v>
      </c>
      <c r="CY24" s="70">
        <v>0.82477999999999996</v>
      </c>
      <c r="CZ24" s="70">
        <v>0.83513999999999999</v>
      </c>
      <c r="DA24" s="70">
        <v>0.84502999999999995</v>
      </c>
      <c r="DB24" s="70">
        <v>0.85441999999999996</v>
      </c>
      <c r="DC24" s="70">
        <v>0.86334</v>
      </c>
      <c r="DD24" s="70">
        <v>0.87182999999999999</v>
      </c>
      <c r="DE24" s="70">
        <v>0.87995999999999996</v>
      </c>
    </row>
    <row r="25" spans="1:109" ht="21" x14ac:dyDescent="0.4">
      <c r="A25" s="66"/>
      <c r="B25" s="66"/>
      <c r="C25" s="66"/>
      <c r="D25" s="61">
        <v>25</v>
      </c>
      <c r="E25" s="67">
        <v>0.37085000000000001</v>
      </c>
      <c r="F25" s="67">
        <v>0.38030999999999998</v>
      </c>
      <c r="G25" s="67">
        <v>0.38995000000000002</v>
      </c>
      <c r="H25" s="67">
        <v>0.39976000000000012</v>
      </c>
      <c r="I25" s="67">
        <v>0.4097400000000001</v>
      </c>
      <c r="J25" s="67">
        <v>0.41988000000000014</v>
      </c>
      <c r="K25" s="67">
        <v>0.43018000000000012</v>
      </c>
      <c r="L25" s="67">
        <v>0.4406400000000002</v>
      </c>
      <c r="M25" s="67">
        <v>0.45126000000000011</v>
      </c>
      <c r="N25" s="67">
        <v>0.46204000000000012</v>
      </c>
      <c r="O25" s="67">
        <v>0.47299000000000008</v>
      </c>
      <c r="P25" s="67">
        <v>0.48410000000000014</v>
      </c>
      <c r="Q25" s="67">
        <v>0.49536000000000019</v>
      </c>
      <c r="R25" s="67">
        <v>0.50677000000000016</v>
      </c>
      <c r="S25" s="67">
        <v>0.5183000000000002</v>
      </c>
      <c r="T25" s="67">
        <v>0.52993000000000023</v>
      </c>
      <c r="U25" s="67">
        <v>0.5416500000000003</v>
      </c>
      <c r="V25" s="67">
        <v>0.55343000000000031</v>
      </c>
      <c r="W25" s="67">
        <v>0.56526000000000021</v>
      </c>
      <c r="X25" s="68">
        <v>0.57716000000000023</v>
      </c>
      <c r="Y25" s="68">
        <v>0.58912000000000031</v>
      </c>
      <c r="Z25" s="68">
        <v>0.60114000000000034</v>
      </c>
      <c r="AA25" s="68">
        <v>0.6132000000000003</v>
      </c>
      <c r="AB25" s="68">
        <v>0.62531000000000037</v>
      </c>
      <c r="AC25" s="68">
        <v>0.63741000000000025</v>
      </c>
      <c r="AD25" s="68">
        <v>0.64948000000000039</v>
      </c>
      <c r="AE25" s="69">
        <v>0.66148000000000029</v>
      </c>
      <c r="AF25" s="68">
        <v>0.67340000000000033</v>
      </c>
      <c r="AG25" s="68">
        <v>0.68522000000000038</v>
      </c>
      <c r="AH25" s="68">
        <v>0.69695000000000029</v>
      </c>
      <c r="AI25" s="68">
        <v>0.70860000000000045</v>
      </c>
      <c r="AJ25" s="68">
        <v>0.72016000000000036</v>
      </c>
      <c r="AK25" s="68">
        <v>0.73162000000000027</v>
      </c>
      <c r="AL25" s="68">
        <v>0.74293000000000031</v>
      </c>
      <c r="AM25" s="68">
        <v>0.75405000000000033</v>
      </c>
      <c r="AN25" s="68">
        <v>0.7648900000000004</v>
      </c>
      <c r="AO25" s="68">
        <v>0.77541000000000038</v>
      </c>
      <c r="AP25" s="68">
        <v>0.78557000000000043</v>
      </c>
      <c r="AQ25" s="68">
        <v>0.79538000000000031</v>
      </c>
      <c r="AR25" s="68">
        <v>0.80486000000000035</v>
      </c>
      <c r="AS25" s="68">
        <v>0.81406000000000034</v>
      </c>
      <c r="AT25" s="68">
        <v>0.82303000000000037</v>
      </c>
      <c r="AU25" s="68">
        <v>0.83178000000000041</v>
      </c>
      <c r="AV25" s="68">
        <v>0.84029000000000043</v>
      </c>
      <c r="AW25" s="68">
        <v>0.8485200000000005</v>
      </c>
      <c r="AX25" s="68">
        <v>0.85640000000000038</v>
      </c>
      <c r="AY25" s="68">
        <v>0.86387000000000047</v>
      </c>
      <c r="AZ25" s="68">
        <v>0.87092000000000036</v>
      </c>
      <c r="BA25" s="68">
        <v>0.87759000000000043</v>
      </c>
      <c r="BB25" s="68">
        <v>0.88393000000000033</v>
      </c>
      <c r="BC25" s="68">
        <v>0.89002000000000048</v>
      </c>
      <c r="BD25" s="68">
        <v>0.89596000000000042</v>
      </c>
      <c r="BE25" s="68"/>
      <c r="BF25" s="68">
        <v>0.32840000000000003</v>
      </c>
      <c r="BG25" s="68">
        <v>0.33683999999999997</v>
      </c>
      <c r="BH25" s="68">
        <v>0.34543000000000001</v>
      </c>
      <c r="BI25" s="68">
        <v>0.35415999999999997</v>
      </c>
      <c r="BJ25" s="68">
        <v>0.36303000000000002</v>
      </c>
      <c r="BK25" s="68">
        <v>0.37204999999999999</v>
      </c>
      <c r="BL25" s="68">
        <v>0.38123000000000001</v>
      </c>
      <c r="BM25" s="68">
        <v>0.39056999999999997</v>
      </c>
      <c r="BN25" s="68">
        <v>0.40007999999999999</v>
      </c>
      <c r="BO25" s="68">
        <v>0.40977000000000002</v>
      </c>
      <c r="BP25" s="68">
        <v>0.41963</v>
      </c>
      <c r="BQ25" s="68">
        <v>0.42967</v>
      </c>
      <c r="BR25" s="68">
        <v>0.43986999999999998</v>
      </c>
      <c r="BS25" s="68">
        <v>0.45024999999999998</v>
      </c>
      <c r="BT25" s="68">
        <v>0.46078999999999998</v>
      </c>
      <c r="BU25" s="70">
        <v>0.47149000000000002</v>
      </c>
      <c r="BV25" s="70">
        <v>0.48232999999999998</v>
      </c>
      <c r="BW25" s="70">
        <v>0.49332999999999999</v>
      </c>
      <c r="BX25" s="70">
        <v>0.50448999999999999</v>
      </c>
      <c r="BY25" s="70">
        <v>0.51585000000000003</v>
      </c>
      <c r="BZ25" s="70">
        <v>0.52742999999999995</v>
      </c>
      <c r="CA25" s="70">
        <v>0.53924000000000005</v>
      </c>
      <c r="CB25" s="70">
        <v>0.55128999999999995</v>
      </c>
      <c r="CC25" s="70">
        <v>0.56355</v>
      </c>
      <c r="CD25" s="70">
        <v>0.57599</v>
      </c>
      <c r="CE25" s="70">
        <v>0.58853999999999995</v>
      </c>
      <c r="CF25" s="70">
        <v>0.60116000000000003</v>
      </c>
      <c r="CG25" s="70">
        <v>0.61382000000000003</v>
      </c>
      <c r="CH25" s="70">
        <v>0.62653000000000003</v>
      </c>
      <c r="CI25" s="70">
        <v>0.63929999999999998</v>
      </c>
      <c r="CJ25" s="70">
        <v>0.65217000000000003</v>
      </c>
      <c r="CK25" s="70">
        <v>0.66517000000000004</v>
      </c>
      <c r="CL25" s="70">
        <v>0.67830000000000001</v>
      </c>
      <c r="CM25" s="70">
        <v>0.6915</v>
      </c>
      <c r="CN25" s="70">
        <v>0.70470999999999995</v>
      </c>
      <c r="CO25" s="70">
        <v>0.71782000000000001</v>
      </c>
      <c r="CP25" s="70">
        <v>0.73073999999999995</v>
      </c>
      <c r="CQ25" s="70">
        <v>0.74341000000000002</v>
      </c>
      <c r="CR25" s="70">
        <v>0.75580999999999998</v>
      </c>
      <c r="CS25" s="70">
        <v>0.76793999999999996</v>
      </c>
      <c r="CT25" s="70">
        <v>0.77981</v>
      </c>
      <c r="CU25" s="70">
        <v>0.79146000000000005</v>
      </c>
      <c r="CV25" s="70">
        <v>0.80286999999999997</v>
      </c>
      <c r="CW25" s="70">
        <v>0.81399999999999995</v>
      </c>
      <c r="CX25" s="70">
        <v>0.82477999999999996</v>
      </c>
      <c r="CY25" s="70">
        <v>0.83513999999999999</v>
      </c>
      <c r="CZ25" s="70">
        <v>0.84502999999999995</v>
      </c>
      <c r="DA25" s="70">
        <v>0.85441999999999996</v>
      </c>
      <c r="DB25" s="70">
        <v>0.86334</v>
      </c>
      <c r="DC25" s="70">
        <v>0.87182999999999999</v>
      </c>
      <c r="DD25" s="70">
        <v>0.87995999999999996</v>
      </c>
      <c r="DE25" s="70">
        <v>0.88780000000000003</v>
      </c>
    </row>
    <row r="26" spans="1:109" ht="21" x14ac:dyDescent="0.4">
      <c r="A26" s="66"/>
      <c r="B26" s="66"/>
      <c r="C26" s="66"/>
      <c r="D26" s="61">
        <v>26</v>
      </c>
      <c r="E26" s="67">
        <v>0.38030999999999998</v>
      </c>
      <c r="F26" s="67">
        <v>0.38995000000000002</v>
      </c>
      <c r="G26" s="67">
        <v>0.39976000000000012</v>
      </c>
      <c r="H26" s="67">
        <v>0.4097400000000001</v>
      </c>
      <c r="I26" s="67">
        <v>0.41988000000000014</v>
      </c>
      <c r="J26" s="67">
        <v>0.43018000000000012</v>
      </c>
      <c r="K26" s="67">
        <v>0.4406400000000002</v>
      </c>
      <c r="L26" s="67">
        <v>0.45126000000000011</v>
      </c>
      <c r="M26" s="67">
        <v>0.46204000000000012</v>
      </c>
      <c r="N26" s="67">
        <v>0.47299000000000008</v>
      </c>
      <c r="O26" s="67">
        <v>0.48410000000000014</v>
      </c>
      <c r="P26" s="67">
        <v>0.49536000000000019</v>
      </c>
      <c r="Q26" s="67">
        <v>0.50677000000000016</v>
      </c>
      <c r="R26" s="67">
        <v>0.5183000000000002</v>
      </c>
      <c r="S26" s="67">
        <v>0.52993000000000023</v>
      </c>
      <c r="T26" s="67">
        <v>0.54165000000000008</v>
      </c>
      <c r="U26" s="67">
        <v>0.5534300000000002</v>
      </c>
      <c r="V26" s="67">
        <v>0.5652600000000001</v>
      </c>
      <c r="W26" s="67">
        <v>0.57716000000000023</v>
      </c>
      <c r="X26" s="68">
        <v>0.5891200000000002</v>
      </c>
      <c r="Y26" s="68">
        <v>0.60114000000000023</v>
      </c>
      <c r="Z26" s="68">
        <v>0.61320000000000019</v>
      </c>
      <c r="AA26" s="68">
        <v>0.62531000000000014</v>
      </c>
      <c r="AB26" s="68">
        <v>0.63741000000000014</v>
      </c>
      <c r="AC26" s="68">
        <v>0.64948000000000017</v>
      </c>
      <c r="AD26" s="68">
        <v>0.66148000000000018</v>
      </c>
      <c r="AE26" s="69">
        <v>0.67340000000000011</v>
      </c>
      <c r="AF26" s="68">
        <v>0.68522000000000016</v>
      </c>
      <c r="AG26" s="68">
        <v>0.69695000000000018</v>
      </c>
      <c r="AH26" s="68">
        <v>0.70860000000000012</v>
      </c>
      <c r="AI26" s="68">
        <v>0.72016000000000013</v>
      </c>
      <c r="AJ26" s="68">
        <v>0.73162000000000027</v>
      </c>
      <c r="AK26" s="68">
        <v>0.7429300000000002</v>
      </c>
      <c r="AL26" s="68">
        <v>0.75405000000000011</v>
      </c>
      <c r="AM26" s="68">
        <v>0.76489000000000018</v>
      </c>
      <c r="AN26" s="68">
        <v>0.77541000000000015</v>
      </c>
      <c r="AO26" s="68">
        <v>0.7855700000000001</v>
      </c>
      <c r="AP26" s="68">
        <v>0.7953800000000002</v>
      </c>
      <c r="AQ26" s="68">
        <v>0.80486000000000013</v>
      </c>
      <c r="AR26" s="68">
        <v>0.81406000000000023</v>
      </c>
      <c r="AS26" s="68">
        <v>0.82303000000000026</v>
      </c>
      <c r="AT26" s="68">
        <v>0.8317800000000003</v>
      </c>
      <c r="AU26" s="68">
        <v>0.84029000000000031</v>
      </c>
      <c r="AV26" s="68">
        <v>0.84852000000000027</v>
      </c>
      <c r="AW26" s="68">
        <v>0.85640000000000027</v>
      </c>
      <c r="AX26" s="68">
        <v>0.86387000000000014</v>
      </c>
      <c r="AY26" s="68">
        <v>0.87092000000000025</v>
      </c>
      <c r="AZ26" s="68">
        <v>0.8775900000000002</v>
      </c>
      <c r="BA26" s="68">
        <v>0.88393000000000022</v>
      </c>
      <c r="BB26" s="68">
        <v>0.89002000000000026</v>
      </c>
      <c r="BC26" s="68">
        <v>0.8959600000000002</v>
      </c>
      <c r="BD26" s="68">
        <v>0.90188000000000024</v>
      </c>
      <c r="BE26" s="68"/>
      <c r="BF26" s="68">
        <v>0.33683999999999997</v>
      </c>
      <c r="BG26" s="68">
        <v>0.34543000000000001</v>
      </c>
      <c r="BH26" s="68">
        <v>0.35415999999999997</v>
      </c>
      <c r="BI26" s="68">
        <v>0.36303000000000002</v>
      </c>
      <c r="BJ26" s="68">
        <v>0.37204999999999999</v>
      </c>
      <c r="BK26" s="68">
        <v>0.38123000000000001</v>
      </c>
      <c r="BL26" s="68">
        <v>0.39056999999999997</v>
      </c>
      <c r="BM26" s="68">
        <v>0.40007999999999999</v>
      </c>
      <c r="BN26" s="68">
        <v>0.40977000000000002</v>
      </c>
      <c r="BO26" s="68">
        <v>0.41963</v>
      </c>
      <c r="BP26" s="68">
        <v>0.42967</v>
      </c>
      <c r="BQ26" s="68">
        <v>0.43986999999999998</v>
      </c>
      <c r="BR26" s="68">
        <v>0.45024999999999998</v>
      </c>
      <c r="BS26" s="68">
        <v>0.46078999999999998</v>
      </c>
      <c r="BT26" s="68">
        <v>0.47149000000000002</v>
      </c>
      <c r="BU26" s="70">
        <v>0.48232999999999998</v>
      </c>
      <c r="BV26" s="70">
        <v>0.49332999999999999</v>
      </c>
      <c r="BW26" s="70">
        <v>0.50448999999999999</v>
      </c>
      <c r="BX26" s="70">
        <v>0.51585000000000003</v>
      </c>
      <c r="BY26" s="70">
        <v>0.52742999999999995</v>
      </c>
      <c r="BZ26" s="70">
        <v>0.53924000000000005</v>
      </c>
      <c r="CA26" s="70">
        <v>0.55128999999999995</v>
      </c>
      <c r="CB26" s="70">
        <v>0.56355</v>
      </c>
      <c r="CC26" s="70">
        <v>0.57599</v>
      </c>
      <c r="CD26" s="70">
        <v>0.58853999999999995</v>
      </c>
      <c r="CE26" s="70">
        <v>0.60116000000000003</v>
      </c>
      <c r="CF26" s="70">
        <v>0.61382000000000003</v>
      </c>
      <c r="CG26" s="70">
        <v>0.62653000000000003</v>
      </c>
      <c r="CH26" s="70">
        <v>0.63929999999999998</v>
      </c>
      <c r="CI26" s="70">
        <v>0.65217000000000003</v>
      </c>
      <c r="CJ26" s="70">
        <v>0.66517000000000004</v>
      </c>
      <c r="CK26" s="70">
        <v>0.67830000000000001</v>
      </c>
      <c r="CL26" s="70">
        <v>0.6915</v>
      </c>
      <c r="CM26" s="70">
        <v>0.70470999999999995</v>
      </c>
      <c r="CN26" s="70">
        <v>0.71782000000000001</v>
      </c>
      <c r="CO26" s="70">
        <v>0.73073999999999995</v>
      </c>
      <c r="CP26" s="70">
        <v>0.74341000000000002</v>
      </c>
      <c r="CQ26" s="70">
        <v>0.75580999999999998</v>
      </c>
      <c r="CR26" s="70">
        <v>0.76793999999999996</v>
      </c>
      <c r="CS26" s="70">
        <v>0.77981</v>
      </c>
      <c r="CT26" s="70">
        <v>0.79146000000000005</v>
      </c>
      <c r="CU26" s="70">
        <v>0.80286999999999997</v>
      </c>
      <c r="CV26" s="70">
        <v>0.81399999999999995</v>
      </c>
      <c r="CW26" s="70">
        <v>0.82477999999999996</v>
      </c>
      <c r="CX26" s="70">
        <v>0.83513999999999999</v>
      </c>
      <c r="CY26" s="70">
        <v>0.84502999999999995</v>
      </c>
      <c r="CZ26" s="70">
        <v>0.85441999999999996</v>
      </c>
      <c r="DA26" s="70">
        <v>0.86334</v>
      </c>
      <c r="DB26" s="70">
        <v>0.87182999999999999</v>
      </c>
      <c r="DC26" s="70">
        <v>0.87995999999999996</v>
      </c>
      <c r="DD26" s="70">
        <v>0.88780000000000003</v>
      </c>
      <c r="DE26" s="70">
        <v>0.89546000000000003</v>
      </c>
    </row>
    <row r="27" spans="1:109" ht="21" x14ac:dyDescent="0.4">
      <c r="A27" s="66"/>
      <c r="B27" s="66"/>
      <c r="C27" s="66"/>
      <c r="D27" s="61">
        <v>27</v>
      </c>
      <c r="E27" s="67">
        <v>0.38995000000000002</v>
      </c>
      <c r="F27" s="67">
        <v>0.39976000000000012</v>
      </c>
      <c r="G27" s="67">
        <v>0.4097400000000001</v>
      </c>
      <c r="H27" s="67">
        <v>0.41988000000000014</v>
      </c>
      <c r="I27" s="67">
        <v>0.43018000000000012</v>
      </c>
      <c r="J27" s="67">
        <v>0.4406400000000002</v>
      </c>
      <c r="K27" s="67">
        <v>0.45126000000000011</v>
      </c>
      <c r="L27" s="67">
        <v>0.46204000000000012</v>
      </c>
      <c r="M27" s="67">
        <v>0.47299000000000008</v>
      </c>
      <c r="N27" s="67">
        <v>0.48410000000000014</v>
      </c>
      <c r="O27" s="67">
        <v>0.49536000000000019</v>
      </c>
      <c r="P27" s="67">
        <v>0.50677000000000016</v>
      </c>
      <c r="Q27" s="67">
        <v>0.5183000000000002</v>
      </c>
      <c r="R27" s="67">
        <v>0.52993000000000023</v>
      </c>
      <c r="S27" s="67">
        <v>0.54165000000000008</v>
      </c>
      <c r="T27" s="67">
        <v>0.55343000000000009</v>
      </c>
      <c r="U27" s="67">
        <v>0.5652600000000001</v>
      </c>
      <c r="V27" s="67">
        <v>0.57716000000000012</v>
      </c>
      <c r="W27" s="67">
        <v>0.58912000000000009</v>
      </c>
      <c r="X27" s="68">
        <v>0.60114000000000012</v>
      </c>
      <c r="Y27" s="68">
        <v>0.61320000000000019</v>
      </c>
      <c r="Z27" s="68">
        <v>0.62531000000000014</v>
      </c>
      <c r="AA27" s="68">
        <v>0.63741000000000014</v>
      </c>
      <c r="AB27" s="68">
        <v>0.64948000000000006</v>
      </c>
      <c r="AC27" s="68">
        <v>0.66148000000000018</v>
      </c>
      <c r="AD27" s="68">
        <v>0.67340000000000011</v>
      </c>
      <c r="AE27" s="69">
        <v>0.68522000000000005</v>
      </c>
      <c r="AF27" s="68">
        <v>0.69695000000000018</v>
      </c>
      <c r="AG27" s="68">
        <v>0.70860000000000012</v>
      </c>
      <c r="AH27" s="68">
        <v>0.72016000000000013</v>
      </c>
      <c r="AI27" s="68">
        <v>0.73162000000000016</v>
      </c>
      <c r="AJ27" s="68">
        <v>0.74293000000000009</v>
      </c>
      <c r="AK27" s="68">
        <v>0.75405000000000011</v>
      </c>
      <c r="AL27" s="68">
        <v>0.76489000000000007</v>
      </c>
      <c r="AM27" s="68">
        <v>0.77541000000000015</v>
      </c>
      <c r="AN27" s="68">
        <v>0.7855700000000001</v>
      </c>
      <c r="AO27" s="68">
        <v>0.79538000000000009</v>
      </c>
      <c r="AP27" s="68">
        <v>0.80486000000000013</v>
      </c>
      <c r="AQ27" s="68">
        <v>0.81406000000000023</v>
      </c>
      <c r="AR27" s="68">
        <v>0.82303000000000015</v>
      </c>
      <c r="AS27" s="68">
        <v>0.83178000000000019</v>
      </c>
      <c r="AT27" s="68">
        <v>0.8402900000000002</v>
      </c>
      <c r="AU27" s="68">
        <v>0.84852000000000016</v>
      </c>
      <c r="AV27" s="68">
        <v>0.85640000000000016</v>
      </c>
      <c r="AW27" s="68">
        <v>0.86387000000000014</v>
      </c>
      <c r="AX27" s="68">
        <v>0.87092000000000014</v>
      </c>
      <c r="AY27" s="68">
        <v>0.8775900000000002</v>
      </c>
      <c r="AZ27" s="68">
        <v>0.8839300000000001</v>
      </c>
      <c r="BA27" s="68">
        <v>0.89002000000000014</v>
      </c>
      <c r="BB27" s="68">
        <v>0.89596000000000009</v>
      </c>
      <c r="BC27" s="68">
        <v>0.90188000000000013</v>
      </c>
      <c r="BD27" s="68">
        <v>0.9078900000000002</v>
      </c>
      <c r="BE27" s="68"/>
      <c r="BF27" s="68">
        <v>0.34543000000000001</v>
      </c>
      <c r="BG27" s="68">
        <v>0.35415999999999997</v>
      </c>
      <c r="BH27" s="68">
        <v>0.36303000000000002</v>
      </c>
      <c r="BI27" s="68">
        <v>0.37204999999999999</v>
      </c>
      <c r="BJ27" s="68">
        <v>0.38123000000000001</v>
      </c>
      <c r="BK27" s="68">
        <v>0.39056999999999997</v>
      </c>
      <c r="BL27" s="68">
        <v>0.40007999999999999</v>
      </c>
      <c r="BM27" s="68">
        <v>0.40977000000000002</v>
      </c>
      <c r="BN27" s="68">
        <v>0.41963</v>
      </c>
      <c r="BO27" s="68">
        <v>0.42967</v>
      </c>
      <c r="BP27" s="68">
        <v>0.43986999999999998</v>
      </c>
      <c r="BQ27" s="68">
        <v>0.45024999999999998</v>
      </c>
      <c r="BR27" s="68">
        <v>0.46078999999999998</v>
      </c>
      <c r="BS27" s="68">
        <v>0.47149000000000002</v>
      </c>
      <c r="BT27" s="68">
        <v>0.48232999999999998</v>
      </c>
      <c r="BU27" s="70">
        <v>0.49332999999999999</v>
      </c>
      <c r="BV27" s="70">
        <v>0.50448999999999999</v>
      </c>
      <c r="BW27" s="70">
        <v>0.51585000000000003</v>
      </c>
      <c r="BX27" s="70">
        <v>0.52742999999999995</v>
      </c>
      <c r="BY27" s="70">
        <v>0.53924000000000005</v>
      </c>
      <c r="BZ27" s="70">
        <v>0.55128999999999995</v>
      </c>
      <c r="CA27" s="70">
        <v>0.56355</v>
      </c>
      <c r="CB27" s="70">
        <v>0.57599</v>
      </c>
      <c r="CC27" s="70">
        <v>0.58853999999999995</v>
      </c>
      <c r="CD27" s="70">
        <v>0.60116000000000003</v>
      </c>
      <c r="CE27" s="70">
        <v>0.61382000000000003</v>
      </c>
      <c r="CF27" s="70">
        <v>0.62653000000000003</v>
      </c>
      <c r="CG27" s="70">
        <v>0.63929999999999998</v>
      </c>
      <c r="CH27" s="70">
        <v>0.65217000000000003</v>
      </c>
      <c r="CI27" s="70">
        <v>0.66517000000000004</v>
      </c>
      <c r="CJ27" s="70">
        <v>0.67830000000000001</v>
      </c>
      <c r="CK27" s="70">
        <v>0.6915</v>
      </c>
      <c r="CL27" s="70">
        <v>0.70470999999999995</v>
      </c>
      <c r="CM27" s="70">
        <v>0.71782000000000001</v>
      </c>
      <c r="CN27" s="70">
        <v>0.73073999999999995</v>
      </c>
      <c r="CO27" s="70">
        <v>0.74341000000000002</v>
      </c>
      <c r="CP27" s="70">
        <v>0.75580999999999998</v>
      </c>
      <c r="CQ27" s="70">
        <v>0.76793999999999996</v>
      </c>
      <c r="CR27" s="70">
        <v>0.77981</v>
      </c>
      <c r="CS27" s="70">
        <v>0.79146000000000005</v>
      </c>
      <c r="CT27" s="70">
        <v>0.80286999999999997</v>
      </c>
      <c r="CU27" s="70">
        <v>0.81399999999999995</v>
      </c>
      <c r="CV27" s="70">
        <v>0.82477999999999996</v>
      </c>
      <c r="CW27" s="70">
        <v>0.83513999999999999</v>
      </c>
      <c r="CX27" s="70">
        <v>0.84502999999999995</v>
      </c>
      <c r="CY27" s="70">
        <v>0.85441999999999996</v>
      </c>
      <c r="CZ27" s="70">
        <v>0.86334</v>
      </c>
      <c r="DA27" s="70">
        <v>0.87182999999999999</v>
      </c>
      <c r="DB27" s="70">
        <v>0.87995999999999996</v>
      </c>
      <c r="DC27" s="70">
        <v>0.88780000000000003</v>
      </c>
      <c r="DD27" s="70">
        <v>0.89546000000000003</v>
      </c>
      <c r="DE27" s="70">
        <v>0.90303999999999995</v>
      </c>
    </row>
    <row r="28" spans="1:109" ht="21" x14ac:dyDescent="0.4">
      <c r="A28" s="66"/>
      <c r="B28" s="66"/>
      <c r="C28" s="66"/>
      <c r="D28" s="61">
        <v>28</v>
      </c>
      <c r="E28" s="67">
        <v>0.39976000000000012</v>
      </c>
      <c r="F28" s="67">
        <v>0.4097400000000001</v>
      </c>
      <c r="G28" s="67">
        <v>0.41988000000000014</v>
      </c>
      <c r="H28" s="67">
        <v>0.43018000000000012</v>
      </c>
      <c r="I28" s="67">
        <v>0.4406400000000002</v>
      </c>
      <c r="J28" s="67">
        <v>0.45126000000000011</v>
      </c>
      <c r="K28" s="67">
        <v>0.46204000000000012</v>
      </c>
      <c r="L28" s="67">
        <v>0.47299000000000008</v>
      </c>
      <c r="M28" s="67">
        <v>0.48410000000000014</v>
      </c>
      <c r="N28" s="67">
        <v>0.49536000000000019</v>
      </c>
      <c r="O28" s="67">
        <v>0.50677000000000016</v>
      </c>
      <c r="P28" s="67">
        <v>0.5183000000000002</v>
      </c>
      <c r="Q28" s="67">
        <v>0.52993000000000023</v>
      </c>
      <c r="R28" s="67">
        <v>0.54165000000000008</v>
      </c>
      <c r="S28" s="67">
        <v>0.55343000000000009</v>
      </c>
      <c r="T28" s="67">
        <v>0.5652600000000001</v>
      </c>
      <c r="U28" s="67">
        <v>0.57716000000000012</v>
      </c>
      <c r="V28" s="67">
        <v>0.58912000000000009</v>
      </c>
      <c r="W28" s="67">
        <v>0.60114000000000012</v>
      </c>
      <c r="X28" s="68">
        <v>0.61320000000000008</v>
      </c>
      <c r="Y28" s="68">
        <v>0.62531000000000014</v>
      </c>
      <c r="Z28" s="68">
        <v>0.63741000000000014</v>
      </c>
      <c r="AA28" s="68">
        <v>0.64948000000000006</v>
      </c>
      <c r="AB28" s="68">
        <v>0.66148000000000007</v>
      </c>
      <c r="AC28" s="68">
        <v>0.67340000000000011</v>
      </c>
      <c r="AD28" s="68">
        <v>0.68522000000000016</v>
      </c>
      <c r="AE28" s="69">
        <v>0.69695000000000007</v>
      </c>
      <c r="AF28" s="68">
        <v>0.70860000000000012</v>
      </c>
      <c r="AG28" s="68">
        <v>0.72016000000000002</v>
      </c>
      <c r="AH28" s="68">
        <v>0.73162000000000016</v>
      </c>
      <c r="AI28" s="68">
        <v>0.74293000000000009</v>
      </c>
      <c r="AJ28" s="68">
        <v>0.75405000000000011</v>
      </c>
      <c r="AK28" s="68">
        <v>0.76489000000000007</v>
      </c>
      <c r="AL28" s="68">
        <v>0.77541000000000015</v>
      </c>
      <c r="AM28" s="68">
        <v>0.7855700000000001</v>
      </c>
      <c r="AN28" s="68">
        <v>0.7953800000000002</v>
      </c>
      <c r="AO28" s="68">
        <v>0.80486000000000002</v>
      </c>
      <c r="AP28" s="68">
        <v>0.81406000000000012</v>
      </c>
      <c r="AQ28" s="68">
        <v>0.82303000000000004</v>
      </c>
      <c r="AR28" s="68">
        <v>0.83178000000000007</v>
      </c>
      <c r="AS28" s="68">
        <v>0.84029000000000009</v>
      </c>
      <c r="AT28" s="68">
        <v>0.84852000000000016</v>
      </c>
      <c r="AU28" s="68">
        <v>0.85640000000000005</v>
      </c>
      <c r="AV28" s="68">
        <v>0.86387000000000003</v>
      </c>
      <c r="AW28" s="68">
        <v>0.87092000000000014</v>
      </c>
      <c r="AX28" s="68">
        <v>0.87759000000000009</v>
      </c>
      <c r="AY28" s="68">
        <v>0.88393000000000022</v>
      </c>
      <c r="AZ28" s="68">
        <v>0.89002000000000014</v>
      </c>
      <c r="BA28" s="68">
        <v>0.89596000000000009</v>
      </c>
      <c r="BB28" s="68">
        <v>0.90188000000000013</v>
      </c>
      <c r="BC28" s="68">
        <v>0.9078900000000002</v>
      </c>
      <c r="BD28" s="68">
        <v>0.9141800000000001</v>
      </c>
      <c r="BE28" s="68"/>
      <c r="BF28" s="70">
        <v>0.35415999999999997</v>
      </c>
      <c r="BG28" s="70">
        <v>0.36303000000000002</v>
      </c>
      <c r="BH28" s="70">
        <v>0.37204999999999999</v>
      </c>
      <c r="BI28" s="70">
        <v>0.38123000000000001</v>
      </c>
      <c r="BJ28" s="70">
        <v>0.39056999999999997</v>
      </c>
      <c r="BK28" s="70">
        <v>0.40007999999999999</v>
      </c>
      <c r="BL28" s="70">
        <v>0.40977000000000002</v>
      </c>
      <c r="BM28" s="70">
        <v>0.41963</v>
      </c>
      <c r="BN28" s="70">
        <v>0.42967</v>
      </c>
      <c r="BO28" s="70">
        <v>0.43986999999999998</v>
      </c>
      <c r="BP28" s="70">
        <v>0.45024999999999998</v>
      </c>
      <c r="BQ28" s="70">
        <v>0.46078999999999998</v>
      </c>
      <c r="BR28" s="70">
        <v>0.47149000000000002</v>
      </c>
      <c r="BS28" s="70">
        <v>0.48232999999999998</v>
      </c>
      <c r="BT28" s="70">
        <v>0.49332999999999999</v>
      </c>
      <c r="BU28" s="70">
        <v>0.50448999999999999</v>
      </c>
      <c r="BV28" s="70">
        <v>0.51585000000000003</v>
      </c>
      <c r="BW28" s="70">
        <v>0.52742999999999995</v>
      </c>
      <c r="BX28" s="70">
        <v>0.53924000000000005</v>
      </c>
      <c r="BY28" s="70">
        <v>0.55128999999999995</v>
      </c>
      <c r="BZ28" s="70">
        <v>0.56355</v>
      </c>
      <c r="CA28" s="70">
        <v>0.57599</v>
      </c>
      <c r="CB28" s="70">
        <v>0.58853999999999995</v>
      </c>
      <c r="CC28" s="70">
        <v>0.60116000000000003</v>
      </c>
      <c r="CD28" s="70">
        <v>0.61382000000000003</v>
      </c>
      <c r="CE28" s="70">
        <v>0.62653000000000003</v>
      </c>
      <c r="CF28" s="70">
        <v>0.63929999999999998</v>
      </c>
      <c r="CG28" s="70">
        <v>0.65217000000000003</v>
      </c>
      <c r="CH28" s="70">
        <v>0.66517000000000004</v>
      </c>
      <c r="CI28" s="70">
        <v>0.67830000000000001</v>
      </c>
      <c r="CJ28" s="70">
        <v>0.6915</v>
      </c>
      <c r="CK28" s="70">
        <v>0.70470999999999995</v>
      </c>
      <c r="CL28" s="70">
        <v>0.71782000000000001</v>
      </c>
      <c r="CM28" s="70">
        <v>0.73073999999999995</v>
      </c>
      <c r="CN28" s="70">
        <v>0.74341000000000002</v>
      </c>
      <c r="CO28" s="70">
        <v>0.75580999999999998</v>
      </c>
      <c r="CP28" s="70">
        <v>0.76793999999999996</v>
      </c>
      <c r="CQ28" s="70">
        <v>0.77981</v>
      </c>
      <c r="CR28" s="70">
        <v>0.79146000000000005</v>
      </c>
      <c r="CS28" s="70">
        <v>0.80286999999999997</v>
      </c>
      <c r="CT28" s="70">
        <v>0.81399999999999995</v>
      </c>
      <c r="CU28" s="70">
        <v>0.82477999999999996</v>
      </c>
      <c r="CV28" s="70">
        <v>0.83513999999999999</v>
      </c>
      <c r="CW28" s="70">
        <v>0.84502999999999995</v>
      </c>
      <c r="CX28" s="70">
        <v>0.85441999999999996</v>
      </c>
      <c r="CY28" s="70">
        <v>0.86334</v>
      </c>
      <c r="CZ28" s="70">
        <v>0.87182999999999999</v>
      </c>
      <c r="DA28" s="70">
        <v>0.87995999999999996</v>
      </c>
      <c r="DB28" s="70">
        <v>0.88780000000000003</v>
      </c>
      <c r="DC28" s="70">
        <v>0.89546000000000003</v>
      </c>
      <c r="DD28" s="70">
        <v>0.90303999999999995</v>
      </c>
      <c r="DE28" s="70">
        <v>0.91069</v>
      </c>
    </row>
    <row r="29" spans="1:109" ht="21" x14ac:dyDescent="0.4">
      <c r="A29" s="66"/>
      <c r="B29" s="66"/>
      <c r="C29" s="66"/>
      <c r="D29" s="61">
        <v>29</v>
      </c>
      <c r="E29" s="67">
        <v>0.4097400000000001</v>
      </c>
      <c r="F29" s="67">
        <v>0.41988000000000014</v>
      </c>
      <c r="G29" s="67">
        <v>0.43018000000000012</v>
      </c>
      <c r="H29" s="67">
        <v>0.4406400000000002</v>
      </c>
      <c r="I29" s="67">
        <v>0.45126000000000011</v>
      </c>
      <c r="J29" s="67">
        <v>0.46204000000000012</v>
      </c>
      <c r="K29" s="67">
        <v>0.47299000000000008</v>
      </c>
      <c r="L29" s="67">
        <v>0.48410000000000014</v>
      </c>
      <c r="M29" s="67">
        <v>0.49536000000000019</v>
      </c>
      <c r="N29" s="67">
        <v>0.50677000000000016</v>
      </c>
      <c r="O29" s="67">
        <v>0.5183000000000002</v>
      </c>
      <c r="P29" s="67">
        <v>0.52993000000000023</v>
      </c>
      <c r="Q29" s="67">
        <v>0.54165000000000008</v>
      </c>
      <c r="R29" s="67">
        <v>0.55343000000000009</v>
      </c>
      <c r="S29" s="67">
        <v>0.5652600000000001</v>
      </c>
      <c r="T29" s="67">
        <v>0.57716000000000012</v>
      </c>
      <c r="U29" s="67">
        <v>0.5891200000000002</v>
      </c>
      <c r="V29" s="67">
        <v>0.60114000000000012</v>
      </c>
      <c r="W29" s="67">
        <v>0.61320000000000019</v>
      </c>
      <c r="X29" s="68">
        <v>0.62531000000000014</v>
      </c>
      <c r="Y29" s="68">
        <v>0.63741000000000014</v>
      </c>
      <c r="Z29" s="68">
        <v>0.64948000000000017</v>
      </c>
      <c r="AA29" s="68">
        <v>0.66148000000000018</v>
      </c>
      <c r="AB29" s="68">
        <v>0.67340000000000011</v>
      </c>
      <c r="AC29" s="68">
        <v>0.68522000000000016</v>
      </c>
      <c r="AD29" s="68">
        <v>0.69695000000000018</v>
      </c>
      <c r="AE29" s="69">
        <v>0.70860000000000012</v>
      </c>
      <c r="AF29" s="68">
        <v>0.72016000000000013</v>
      </c>
      <c r="AG29" s="68">
        <v>0.73162000000000016</v>
      </c>
      <c r="AH29" s="68">
        <v>0.7429300000000002</v>
      </c>
      <c r="AI29" s="68">
        <v>0.75405000000000011</v>
      </c>
      <c r="AJ29" s="68">
        <v>0.76489000000000007</v>
      </c>
      <c r="AK29" s="68">
        <v>0.77541000000000027</v>
      </c>
      <c r="AL29" s="68">
        <v>0.78557000000000021</v>
      </c>
      <c r="AM29" s="68">
        <v>0.7953800000000002</v>
      </c>
      <c r="AN29" s="68">
        <v>0.80486000000000013</v>
      </c>
      <c r="AO29" s="68">
        <v>0.81406000000000023</v>
      </c>
      <c r="AP29" s="68">
        <v>0.82303000000000015</v>
      </c>
      <c r="AQ29" s="68">
        <v>0.83178000000000019</v>
      </c>
      <c r="AR29" s="68">
        <v>0.8402900000000002</v>
      </c>
      <c r="AS29" s="68">
        <v>0.84852000000000016</v>
      </c>
      <c r="AT29" s="68">
        <v>0.85640000000000016</v>
      </c>
      <c r="AU29" s="68">
        <v>0.86387000000000025</v>
      </c>
      <c r="AV29" s="68">
        <v>0.87092000000000014</v>
      </c>
      <c r="AW29" s="68">
        <v>0.8775900000000002</v>
      </c>
      <c r="AX29" s="68">
        <v>0.8839300000000001</v>
      </c>
      <c r="AY29" s="68">
        <v>0.89002000000000026</v>
      </c>
      <c r="AZ29" s="68">
        <v>0.8959600000000002</v>
      </c>
      <c r="BA29" s="68">
        <v>0.90188000000000024</v>
      </c>
      <c r="BB29" s="68">
        <v>0.9078900000000002</v>
      </c>
      <c r="BC29" s="68">
        <v>0.91418000000000021</v>
      </c>
      <c r="BD29" s="68">
        <v>0.92093000000000025</v>
      </c>
      <c r="BE29" s="68"/>
      <c r="BF29" s="70">
        <v>0.36303000000000002</v>
      </c>
      <c r="BG29" s="70">
        <v>0.37204999999999999</v>
      </c>
      <c r="BH29" s="70">
        <v>0.38123000000000001</v>
      </c>
      <c r="BI29" s="70">
        <v>0.39056999999999997</v>
      </c>
      <c r="BJ29" s="70">
        <v>0.40007999999999999</v>
      </c>
      <c r="BK29" s="70">
        <v>0.40977000000000002</v>
      </c>
      <c r="BL29" s="70">
        <v>0.41963</v>
      </c>
      <c r="BM29" s="70">
        <v>0.42967</v>
      </c>
      <c r="BN29" s="70">
        <v>0.43986999999999998</v>
      </c>
      <c r="BO29" s="70">
        <v>0.45024999999999998</v>
      </c>
      <c r="BP29" s="70">
        <v>0.46078999999999998</v>
      </c>
      <c r="BQ29" s="70">
        <v>0.47149000000000002</v>
      </c>
      <c r="BR29" s="70">
        <v>0.48232999999999998</v>
      </c>
      <c r="BS29" s="70">
        <v>0.49332999999999999</v>
      </c>
      <c r="BT29" s="70">
        <v>0.50448999999999999</v>
      </c>
      <c r="BU29" s="70">
        <v>0.51585000000000003</v>
      </c>
      <c r="BV29" s="70">
        <v>0.52742999999999995</v>
      </c>
      <c r="BW29" s="70">
        <v>0.53924000000000005</v>
      </c>
      <c r="BX29" s="70">
        <v>0.55128999999999995</v>
      </c>
      <c r="BY29" s="70">
        <v>0.56355</v>
      </c>
      <c r="BZ29" s="70">
        <v>0.57599</v>
      </c>
      <c r="CA29" s="70">
        <v>0.58853999999999995</v>
      </c>
      <c r="CB29" s="70">
        <v>0.60116000000000003</v>
      </c>
      <c r="CC29" s="70">
        <v>0.61382000000000003</v>
      </c>
      <c r="CD29" s="70">
        <v>0.62653000000000003</v>
      </c>
      <c r="CE29" s="70">
        <v>0.63929999999999998</v>
      </c>
      <c r="CF29" s="70">
        <v>0.65217000000000003</v>
      </c>
      <c r="CG29" s="70">
        <v>0.66517000000000004</v>
      </c>
      <c r="CH29" s="70">
        <v>0.67830000000000001</v>
      </c>
      <c r="CI29" s="70">
        <v>0.6915</v>
      </c>
      <c r="CJ29" s="70">
        <v>0.70470999999999995</v>
      </c>
      <c r="CK29" s="70">
        <v>0.71782000000000001</v>
      </c>
      <c r="CL29" s="70">
        <v>0.73073999999999995</v>
      </c>
      <c r="CM29" s="70">
        <v>0.74341000000000002</v>
      </c>
      <c r="CN29" s="70">
        <v>0.75580999999999998</v>
      </c>
      <c r="CO29" s="70">
        <v>0.76793999999999996</v>
      </c>
      <c r="CP29" s="70">
        <v>0.77981</v>
      </c>
      <c r="CQ29" s="70">
        <v>0.79146000000000005</v>
      </c>
      <c r="CR29" s="70">
        <v>0.80286999999999997</v>
      </c>
      <c r="CS29" s="70">
        <v>0.81399999999999995</v>
      </c>
      <c r="CT29" s="70">
        <v>0.82477999999999996</v>
      </c>
      <c r="CU29" s="70">
        <v>0.83513999999999999</v>
      </c>
      <c r="CV29" s="70">
        <v>0.84502999999999995</v>
      </c>
      <c r="CW29" s="70">
        <v>0.85441999999999996</v>
      </c>
      <c r="CX29" s="70">
        <v>0.86334</v>
      </c>
      <c r="CY29" s="70">
        <v>0.87182999999999999</v>
      </c>
      <c r="CZ29" s="70">
        <v>0.87995999999999996</v>
      </c>
      <c r="DA29" s="70">
        <v>0.88780000000000003</v>
      </c>
      <c r="DB29" s="70">
        <v>0.89546000000000003</v>
      </c>
      <c r="DC29" s="70">
        <v>0.90303999999999995</v>
      </c>
      <c r="DD29" s="70">
        <v>0.91069</v>
      </c>
      <c r="DE29" s="70">
        <v>0.91857</v>
      </c>
    </row>
    <row r="30" spans="1:109" ht="21" x14ac:dyDescent="0.4">
      <c r="A30" s="66"/>
      <c r="B30" s="66"/>
      <c r="C30" s="66"/>
      <c r="D30" s="61">
        <v>30</v>
      </c>
      <c r="E30" s="67">
        <v>0.41988000000000014</v>
      </c>
      <c r="F30" s="67">
        <v>0.43018000000000012</v>
      </c>
      <c r="G30" s="67">
        <v>0.4406400000000002</v>
      </c>
      <c r="H30" s="67">
        <v>0.45126000000000011</v>
      </c>
      <c r="I30" s="67">
        <v>0.46204000000000012</v>
      </c>
      <c r="J30" s="67">
        <v>0.47299000000000008</v>
      </c>
      <c r="K30" s="67">
        <v>0.48410000000000014</v>
      </c>
      <c r="L30" s="67">
        <v>0.49536000000000019</v>
      </c>
      <c r="M30" s="67">
        <v>0.50677000000000016</v>
      </c>
      <c r="N30" s="67">
        <v>0.5183000000000002</v>
      </c>
      <c r="O30" s="67">
        <v>0.52993000000000023</v>
      </c>
      <c r="P30" s="67">
        <v>0.54165000000000008</v>
      </c>
      <c r="Q30" s="67">
        <v>0.55343000000000009</v>
      </c>
      <c r="R30" s="67">
        <v>0.5652600000000001</v>
      </c>
      <c r="S30" s="67">
        <v>0.57716000000000012</v>
      </c>
      <c r="T30" s="67">
        <v>0.5891200000000002</v>
      </c>
      <c r="U30" s="67">
        <v>0.60114000000000023</v>
      </c>
      <c r="V30" s="67">
        <v>0.61320000000000019</v>
      </c>
      <c r="W30" s="67">
        <v>0.62531000000000014</v>
      </c>
      <c r="X30" s="68">
        <v>0.63741000000000014</v>
      </c>
      <c r="Y30" s="68">
        <v>0.64948000000000017</v>
      </c>
      <c r="Z30" s="68">
        <v>0.66148000000000018</v>
      </c>
      <c r="AA30" s="68">
        <v>0.67340000000000011</v>
      </c>
      <c r="AB30" s="68">
        <v>0.68522000000000016</v>
      </c>
      <c r="AC30" s="68">
        <v>0.69695000000000007</v>
      </c>
      <c r="AD30" s="68">
        <v>0.70860000000000012</v>
      </c>
      <c r="AE30" s="69">
        <v>0.72016000000000024</v>
      </c>
      <c r="AF30" s="68">
        <v>0.73162000000000016</v>
      </c>
      <c r="AG30" s="68">
        <v>0.74293000000000009</v>
      </c>
      <c r="AH30" s="68">
        <v>0.75405000000000022</v>
      </c>
      <c r="AI30" s="68">
        <v>0.76489000000000018</v>
      </c>
      <c r="AJ30" s="68">
        <v>0.77541000000000015</v>
      </c>
      <c r="AK30" s="68">
        <v>0.7855700000000001</v>
      </c>
      <c r="AL30" s="68">
        <v>0.79538000000000009</v>
      </c>
      <c r="AM30" s="68">
        <v>0.80486000000000024</v>
      </c>
      <c r="AN30" s="68">
        <v>0.81406000000000012</v>
      </c>
      <c r="AO30" s="68">
        <v>0.82303000000000015</v>
      </c>
      <c r="AP30" s="68">
        <v>0.83178000000000019</v>
      </c>
      <c r="AQ30" s="68">
        <v>0.8402900000000002</v>
      </c>
      <c r="AR30" s="68">
        <v>0.84852000000000016</v>
      </c>
      <c r="AS30" s="68">
        <v>0.85640000000000027</v>
      </c>
      <c r="AT30" s="68">
        <v>0.86387000000000014</v>
      </c>
      <c r="AU30" s="68">
        <v>0.87092000000000025</v>
      </c>
      <c r="AV30" s="68">
        <v>0.87759000000000009</v>
      </c>
      <c r="AW30" s="68">
        <v>0.8839300000000001</v>
      </c>
      <c r="AX30" s="68">
        <v>0.89002000000000014</v>
      </c>
      <c r="AY30" s="68">
        <v>0.8959600000000002</v>
      </c>
      <c r="AZ30" s="68">
        <v>0.90188000000000013</v>
      </c>
      <c r="BA30" s="68">
        <v>0.9078900000000002</v>
      </c>
      <c r="BB30" s="68">
        <v>0.91418000000000021</v>
      </c>
      <c r="BC30" s="68">
        <v>0.92093000000000025</v>
      </c>
      <c r="BD30" s="68">
        <v>0.92834000000000017</v>
      </c>
      <c r="BE30" s="68"/>
      <c r="BF30" s="70">
        <v>0.37204999999999999</v>
      </c>
      <c r="BG30" s="70">
        <v>0.38123000000000001</v>
      </c>
      <c r="BH30" s="70">
        <v>0.39056999999999997</v>
      </c>
      <c r="BI30" s="70">
        <v>0.40007999999999999</v>
      </c>
      <c r="BJ30" s="70">
        <v>0.40977000000000002</v>
      </c>
      <c r="BK30" s="70">
        <v>0.41963</v>
      </c>
      <c r="BL30" s="70">
        <v>0.42967</v>
      </c>
      <c r="BM30" s="70">
        <v>0.43986999999999998</v>
      </c>
      <c r="BN30" s="70">
        <v>0.45024999999999998</v>
      </c>
      <c r="BO30" s="70">
        <v>0.46078999999999998</v>
      </c>
      <c r="BP30" s="70">
        <v>0.47149000000000002</v>
      </c>
      <c r="BQ30" s="70">
        <v>0.48232999999999998</v>
      </c>
      <c r="BR30" s="70">
        <v>0.49332999999999999</v>
      </c>
      <c r="BS30" s="70">
        <v>0.50448999999999999</v>
      </c>
      <c r="BT30" s="70">
        <v>0.51585000000000003</v>
      </c>
      <c r="BU30" s="70">
        <v>0.52742999999999995</v>
      </c>
      <c r="BV30" s="70">
        <v>0.53924000000000005</v>
      </c>
      <c r="BW30" s="70">
        <v>0.55128999999999995</v>
      </c>
      <c r="BX30" s="70">
        <v>0.56355</v>
      </c>
      <c r="BY30" s="70">
        <v>0.57599</v>
      </c>
      <c r="BZ30" s="70">
        <v>0.58853999999999995</v>
      </c>
      <c r="CA30" s="70">
        <v>0.60116000000000003</v>
      </c>
      <c r="CB30" s="70">
        <v>0.61382000000000003</v>
      </c>
      <c r="CC30" s="70">
        <v>0.62653000000000003</v>
      </c>
      <c r="CD30" s="70">
        <v>0.63929999999999998</v>
      </c>
      <c r="CE30" s="70">
        <v>0.65217000000000003</v>
      </c>
      <c r="CF30" s="70">
        <v>0.66517000000000004</v>
      </c>
      <c r="CG30" s="70">
        <v>0.67830000000000001</v>
      </c>
      <c r="CH30" s="70">
        <v>0.6915</v>
      </c>
      <c r="CI30" s="70">
        <v>0.70470999999999995</v>
      </c>
      <c r="CJ30" s="70">
        <v>0.71782000000000001</v>
      </c>
      <c r="CK30" s="70">
        <v>0.73073999999999995</v>
      </c>
      <c r="CL30" s="70">
        <v>0.74341000000000002</v>
      </c>
      <c r="CM30" s="70">
        <v>0.75580999999999998</v>
      </c>
      <c r="CN30" s="70">
        <v>0.76793999999999996</v>
      </c>
      <c r="CO30" s="70">
        <v>0.77981</v>
      </c>
      <c r="CP30" s="70">
        <v>0.79146000000000005</v>
      </c>
      <c r="CQ30" s="70">
        <v>0.80286999999999997</v>
      </c>
      <c r="CR30" s="70">
        <v>0.81399999999999995</v>
      </c>
      <c r="CS30" s="70">
        <v>0.82477999999999996</v>
      </c>
      <c r="CT30" s="70">
        <v>0.83513999999999999</v>
      </c>
      <c r="CU30" s="70">
        <v>0.84502999999999995</v>
      </c>
      <c r="CV30" s="70">
        <v>0.85441999999999996</v>
      </c>
      <c r="CW30" s="70">
        <v>0.86334</v>
      </c>
      <c r="CX30" s="70">
        <v>0.87182999999999999</v>
      </c>
      <c r="CY30" s="70">
        <v>0.87995999999999996</v>
      </c>
      <c r="CZ30" s="70">
        <v>0.88780000000000003</v>
      </c>
      <c r="DA30" s="70">
        <v>0.89546000000000003</v>
      </c>
      <c r="DB30" s="70">
        <v>0.90303999999999995</v>
      </c>
      <c r="DC30" s="70">
        <v>0.91069</v>
      </c>
      <c r="DD30" s="70">
        <v>0.91857</v>
      </c>
      <c r="DE30" s="70">
        <v>0.92686999999999997</v>
      </c>
    </row>
    <row r="31" spans="1:109" ht="21" x14ac:dyDescent="0.4">
      <c r="A31" s="66"/>
      <c r="B31" s="66"/>
      <c r="C31" s="66"/>
      <c r="D31" s="61">
        <v>31</v>
      </c>
      <c r="E31" s="67">
        <v>0.43018000000000012</v>
      </c>
      <c r="F31" s="67">
        <v>0.4406400000000002</v>
      </c>
      <c r="G31" s="67">
        <v>0.45126000000000011</v>
      </c>
      <c r="H31" s="67">
        <v>0.46204000000000012</v>
      </c>
      <c r="I31" s="67">
        <v>0.47299000000000008</v>
      </c>
      <c r="J31" s="67">
        <v>0.48410000000000014</v>
      </c>
      <c r="K31" s="67">
        <v>0.49536000000000019</v>
      </c>
      <c r="L31" s="67">
        <v>0.50677000000000016</v>
      </c>
      <c r="M31" s="67">
        <v>0.5183000000000002</v>
      </c>
      <c r="N31" s="67">
        <v>0.52993000000000023</v>
      </c>
      <c r="O31" s="67">
        <v>0.54165000000000008</v>
      </c>
      <c r="P31" s="67">
        <v>0.55343000000000009</v>
      </c>
      <c r="Q31" s="67">
        <v>0.5652600000000001</v>
      </c>
      <c r="R31" s="67">
        <v>0.57716000000000012</v>
      </c>
      <c r="S31" s="67">
        <v>0.5891200000000002</v>
      </c>
      <c r="T31" s="67">
        <v>0.60114000000000023</v>
      </c>
      <c r="U31" s="67">
        <v>0.61320000000000019</v>
      </c>
      <c r="V31" s="67">
        <v>0.62531000000000025</v>
      </c>
      <c r="W31" s="67">
        <v>0.63741000000000014</v>
      </c>
      <c r="X31" s="68">
        <v>0.64948000000000028</v>
      </c>
      <c r="Y31" s="68">
        <v>0.66148000000000018</v>
      </c>
      <c r="Z31" s="68">
        <v>0.67340000000000022</v>
      </c>
      <c r="AA31" s="68">
        <v>0.68522000000000016</v>
      </c>
      <c r="AB31" s="68">
        <v>0.69695000000000018</v>
      </c>
      <c r="AC31" s="68">
        <v>0.70860000000000023</v>
      </c>
      <c r="AD31" s="68">
        <v>0.72016000000000024</v>
      </c>
      <c r="AE31" s="69">
        <v>0.73162000000000016</v>
      </c>
      <c r="AF31" s="68">
        <v>0.7429300000000002</v>
      </c>
      <c r="AG31" s="68">
        <v>0.75405000000000022</v>
      </c>
      <c r="AH31" s="68">
        <v>0.76489000000000018</v>
      </c>
      <c r="AI31" s="68">
        <v>0.77541000000000015</v>
      </c>
      <c r="AJ31" s="68">
        <v>0.78557000000000021</v>
      </c>
      <c r="AK31" s="68">
        <v>0.7953800000000002</v>
      </c>
      <c r="AL31" s="68">
        <v>0.80486000000000024</v>
      </c>
      <c r="AM31" s="68">
        <v>0.81406000000000023</v>
      </c>
      <c r="AN31" s="68">
        <v>0.82303000000000026</v>
      </c>
      <c r="AO31" s="68">
        <v>0.83178000000000019</v>
      </c>
      <c r="AP31" s="68">
        <v>0.8402900000000002</v>
      </c>
      <c r="AQ31" s="68">
        <v>0.84852000000000016</v>
      </c>
      <c r="AR31" s="68">
        <v>0.85640000000000027</v>
      </c>
      <c r="AS31" s="68">
        <v>0.86387000000000025</v>
      </c>
      <c r="AT31" s="68">
        <v>0.87092000000000025</v>
      </c>
      <c r="AU31" s="68">
        <v>0.8775900000000002</v>
      </c>
      <c r="AV31" s="68">
        <v>0.88393000000000022</v>
      </c>
      <c r="AW31" s="68">
        <v>0.89002000000000026</v>
      </c>
      <c r="AX31" s="68">
        <v>0.8959600000000002</v>
      </c>
      <c r="AY31" s="68">
        <v>0.90188000000000024</v>
      </c>
      <c r="AZ31" s="68">
        <v>0.90789000000000031</v>
      </c>
      <c r="BA31" s="68">
        <v>0.91418000000000033</v>
      </c>
      <c r="BB31" s="68">
        <v>0.92093000000000025</v>
      </c>
      <c r="BC31" s="68">
        <v>0.92834000000000028</v>
      </c>
      <c r="BD31" s="68">
        <v>0.93652000000000024</v>
      </c>
      <c r="BE31" s="68"/>
      <c r="BF31" s="70">
        <v>0.38123000000000001</v>
      </c>
      <c r="BG31" s="70">
        <v>0.39056999999999997</v>
      </c>
      <c r="BH31" s="70">
        <v>0.40007999999999999</v>
      </c>
      <c r="BI31" s="70">
        <v>0.40977000000000002</v>
      </c>
      <c r="BJ31" s="70">
        <v>0.41963</v>
      </c>
      <c r="BK31" s="70">
        <v>0.42967</v>
      </c>
      <c r="BL31" s="70">
        <v>0.43986999999999998</v>
      </c>
      <c r="BM31" s="70">
        <v>0.45024999999999998</v>
      </c>
      <c r="BN31" s="70">
        <v>0.46078999999999998</v>
      </c>
      <c r="BO31" s="70">
        <v>0.47149000000000002</v>
      </c>
      <c r="BP31" s="70">
        <v>0.48232999999999998</v>
      </c>
      <c r="BQ31" s="70">
        <v>0.49332999999999999</v>
      </c>
      <c r="BR31" s="70">
        <v>0.50448999999999999</v>
      </c>
      <c r="BS31" s="70">
        <v>0.51585000000000003</v>
      </c>
      <c r="BT31" s="70">
        <v>0.52742999999999995</v>
      </c>
      <c r="BU31" s="70">
        <v>0.53924000000000005</v>
      </c>
      <c r="BV31" s="70">
        <v>0.55128999999999995</v>
      </c>
      <c r="BW31" s="70">
        <v>0.56355</v>
      </c>
      <c r="BX31" s="70">
        <v>0.57599</v>
      </c>
      <c r="BY31" s="70">
        <v>0.58853999999999995</v>
      </c>
      <c r="BZ31" s="70">
        <v>0.60116000000000003</v>
      </c>
      <c r="CA31" s="70">
        <v>0.61382000000000003</v>
      </c>
      <c r="CB31" s="70">
        <v>0.62653000000000003</v>
      </c>
      <c r="CC31" s="70">
        <v>0.63929999999999998</v>
      </c>
      <c r="CD31" s="70">
        <v>0.65217000000000003</v>
      </c>
      <c r="CE31" s="70">
        <v>0.66517000000000004</v>
      </c>
      <c r="CF31" s="70">
        <v>0.67830000000000001</v>
      </c>
      <c r="CG31" s="70">
        <v>0.6915</v>
      </c>
      <c r="CH31" s="70">
        <v>0.70470999999999995</v>
      </c>
      <c r="CI31" s="70">
        <v>0.71782000000000001</v>
      </c>
      <c r="CJ31" s="70">
        <v>0.73073999999999995</v>
      </c>
      <c r="CK31" s="70">
        <v>0.74341000000000002</v>
      </c>
      <c r="CL31" s="70">
        <v>0.75580999999999998</v>
      </c>
      <c r="CM31" s="70">
        <v>0.76793999999999996</v>
      </c>
      <c r="CN31" s="70">
        <v>0.77981</v>
      </c>
      <c r="CO31" s="70">
        <v>0.79146000000000005</v>
      </c>
      <c r="CP31" s="70">
        <v>0.80286999999999997</v>
      </c>
      <c r="CQ31" s="70">
        <v>0.81399999999999995</v>
      </c>
      <c r="CR31" s="70">
        <v>0.82477999999999996</v>
      </c>
      <c r="CS31" s="70">
        <v>0.83513999999999999</v>
      </c>
      <c r="CT31" s="70">
        <v>0.84502999999999995</v>
      </c>
      <c r="CU31" s="70">
        <v>0.85441999999999996</v>
      </c>
      <c r="CV31" s="70">
        <v>0.86334</v>
      </c>
      <c r="CW31" s="70">
        <v>0.87182999999999999</v>
      </c>
      <c r="CX31" s="70">
        <v>0.87995999999999996</v>
      </c>
      <c r="CY31" s="70">
        <v>0.88780000000000003</v>
      </c>
      <c r="CZ31" s="70">
        <v>0.89546000000000003</v>
      </c>
      <c r="DA31" s="70">
        <v>0.90303999999999995</v>
      </c>
      <c r="DB31" s="70">
        <v>0.91069</v>
      </c>
      <c r="DC31" s="70">
        <v>0.91857</v>
      </c>
      <c r="DD31" s="70">
        <v>0.92686999999999997</v>
      </c>
      <c r="DE31" s="70">
        <v>0.93569000000000002</v>
      </c>
    </row>
    <row r="32" spans="1:109" ht="21" x14ac:dyDescent="0.4">
      <c r="A32" s="66"/>
      <c r="B32" s="66"/>
      <c r="C32" s="66"/>
      <c r="D32" s="61">
        <v>32</v>
      </c>
      <c r="E32" s="67">
        <v>0.4406400000000002</v>
      </c>
      <c r="F32" s="67">
        <v>0.45126000000000011</v>
      </c>
      <c r="G32" s="67">
        <v>0.46204000000000012</v>
      </c>
      <c r="H32" s="67">
        <v>0.47299000000000008</v>
      </c>
      <c r="I32" s="67">
        <v>0.48410000000000014</v>
      </c>
      <c r="J32" s="67">
        <v>0.49536000000000019</v>
      </c>
      <c r="K32" s="67">
        <v>0.50677000000000016</v>
      </c>
      <c r="L32" s="67">
        <v>0.5183000000000002</v>
      </c>
      <c r="M32" s="67">
        <v>0.52993000000000023</v>
      </c>
      <c r="N32" s="67">
        <v>0.54165000000000008</v>
      </c>
      <c r="O32" s="67">
        <v>0.55343000000000009</v>
      </c>
      <c r="P32" s="67">
        <v>0.5652600000000001</v>
      </c>
      <c r="Q32" s="67">
        <v>0.57716000000000012</v>
      </c>
      <c r="R32" s="67">
        <v>0.5891200000000002</v>
      </c>
      <c r="S32" s="67">
        <v>0.60114000000000023</v>
      </c>
      <c r="T32" s="67">
        <v>0.61320000000000008</v>
      </c>
      <c r="U32" s="67">
        <v>0.62531000000000014</v>
      </c>
      <c r="V32" s="67">
        <v>0.63741000000000014</v>
      </c>
      <c r="W32" s="67">
        <v>0.64948000000000017</v>
      </c>
      <c r="X32" s="68">
        <v>0.66148000000000007</v>
      </c>
      <c r="Y32" s="68">
        <v>0.67340000000000011</v>
      </c>
      <c r="Z32" s="68">
        <v>0.68522000000000016</v>
      </c>
      <c r="AA32" s="68">
        <v>0.69695000000000007</v>
      </c>
      <c r="AB32" s="68">
        <v>0.70860000000000012</v>
      </c>
      <c r="AC32" s="68">
        <v>0.72016000000000013</v>
      </c>
      <c r="AD32" s="68">
        <v>0.73162000000000016</v>
      </c>
      <c r="AE32" s="69">
        <v>0.74293000000000009</v>
      </c>
      <c r="AF32" s="68">
        <v>0.75405000000000011</v>
      </c>
      <c r="AG32" s="68">
        <v>0.76489000000000018</v>
      </c>
      <c r="AH32" s="68">
        <v>0.77541000000000015</v>
      </c>
      <c r="AI32" s="68">
        <v>0.78557000000000021</v>
      </c>
      <c r="AJ32" s="68">
        <v>0.7953800000000002</v>
      </c>
      <c r="AK32" s="68">
        <v>0.80486000000000013</v>
      </c>
      <c r="AL32" s="68">
        <v>0.81406000000000012</v>
      </c>
      <c r="AM32" s="68">
        <v>0.82303000000000026</v>
      </c>
      <c r="AN32" s="68">
        <v>0.83178000000000019</v>
      </c>
      <c r="AO32" s="68">
        <v>0.8402900000000002</v>
      </c>
      <c r="AP32" s="68">
        <v>0.84852000000000016</v>
      </c>
      <c r="AQ32" s="68">
        <v>0.85640000000000016</v>
      </c>
      <c r="AR32" s="68">
        <v>0.86387000000000025</v>
      </c>
      <c r="AS32" s="68">
        <v>0.87092000000000014</v>
      </c>
      <c r="AT32" s="68">
        <v>0.8775900000000002</v>
      </c>
      <c r="AU32" s="68">
        <v>0.8839300000000001</v>
      </c>
      <c r="AV32" s="68">
        <v>0.89002000000000026</v>
      </c>
      <c r="AW32" s="68">
        <v>0.8959600000000002</v>
      </c>
      <c r="AX32" s="68">
        <v>0.90188000000000013</v>
      </c>
      <c r="AY32" s="68">
        <v>0.90789000000000009</v>
      </c>
      <c r="AZ32" s="68">
        <v>0.9141800000000001</v>
      </c>
      <c r="BA32" s="68">
        <v>0.92093000000000025</v>
      </c>
      <c r="BB32" s="68">
        <v>0.92834000000000017</v>
      </c>
      <c r="BC32" s="68">
        <v>0.93652000000000024</v>
      </c>
      <c r="BD32" s="68">
        <v>0.94540000000000024</v>
      </c>
      <c r="BE32" s="68"/>
      <c r="BF32" s="70">
        <v>0.39056999999999997</v>
      </c>
      <c r="BG32" s="70">
        <v>0.40007999999999999</v>
      </c>
      <c r="BH32" s="70">
        <v>0.40977000000000002</v>
      </c>
      <c r="BI32" s="70">
        <v>0.41963</v>
      </c>
      <c r="BJ32" s="70">
        <v>0.42967</v>
      </c>
      <c r="BK32" s="70">
        <v>0.43986999999999998</v>
      </c>
      <c r="BL32" s="70">
        <v>0.45024999999999998</v>
      </c>
      <c r="BM32" s="70">
        <v>0.46078999999999998</v>
      </c>
      <c r="BN32" s="70">
        <v>0.47149000000000002</v>
      </c>
      <c r="BO32" s="70">
        <v>0.48232999999999998</v>
      </c>
      <c r="BP32" s="70">
        <v>0.49332999999999999</v>
      </c>
      <c r="BQ32" s="70">
        <v>0.50448999999999999</v>
      </c>
      <c r="BR32" s="70">
        <v>0.51585000000000003</v>
      </c>
      <c r="BS32" s="70">
        <v>0.52742999999999995</v>
      </c>
      <c r="BT32" s="70">
        <v>0.53924000000000005</v>
      </c>
      <c r="BU32" s="70">
        <v>0.55128999999999995</v>
      </c>
      <c r="BV32" s="70">
        <v>0.56355</v>
      </c>
      <c r="BW32" s="70">
        <v>0.57599</v>
      </c>
      <c r="BX32" s="70">
        <v>0.58853999999999995</v>
      </c>
      <c r="BY32" s="70">
        <v>0.60116000000000003</v>
      </c>
      <c r="BZ32" s="70">
        <v>0.61382000000000003</v>
      </c>
      <c r="CA32" s="70">
        <v>0.62653000000000003</v>
      </c>
      <c r="CB32" s="70">
        <v>0.63929999999999998</v>
      </c>
      <c r="CC32" s="70">
        <v>0.65217000000000003</v>
      </c>
      <c r="CD32" s="70">
        <v>0.66517000000000004</v>
      </c>
      <c r="CE32" s="70">
        <v>0.67830000000000001</v>
      </c>
      <c r="CF32" s="70">
        <v>0.6915</v>
      </c>
      <c r="CG32" s="70">
        <v>0.70470999999999995</v>
      </c>
      <c r="CH32" s="70">
        <v>0.71782000000000001</v>
      </c>
      <c r="CI32" s="70">
        <v>0.73073999999999995</v>
      </c>
      <c r="CJ32" s="70">
        <v>0.74341000000000002</v>
      </c>
      <c r="CK32" s="70">
        <v>0.75580999999999998</v>
      </c>
      <c r="CL32" s="70">
        <v>0.76793999999999996</v>
      </c>
      <c r="CM32" s="70">
        <v>0.77981</v>
      </c>
      <c r="CN32" s="70">
        <v>0.79146000000000005</v>
      </c>
      <c r="CO32" s="70">
        <v>0.80286999999999997</v>
      </c>
      <c r="CP32" s="70">
        <v>0.81399999999999995</v>
      </c>
      <c r="CQ32" s="70">
        <v>0.82477999999999996</v>
      </c>
      <c r="CR32" s="70">
        <v>0.83513999999999999</v>
      </c>
      <c r="CS32" s="70">
        <v>0.84502999999999995</v>
      </c>
      <c r="CT32" s="70">
        <v>0.85441999999999996</v>
      </c>
      <c r="CU32" s="70">
        <v>0.86334</v>
      </c>
      <c r="CV32" s="70">
        <v>0.87182999999999999</v>
      </c>
      <c r="CW32" s="70">
        <v>0.87995999999999996</v>
      </c>
      <c r="CX32" s="70">
        <v>0.88780000000000003</v>
      </c>
      <c r="CY32" s="70">
        <v>0.89546000000000003</v>
      </c>
      <c r="CZ32" s="70">
        <v>0.90303999999999995</v>
      </c>
      <c r="DA32" s="70">
        <v>0.91069</v>
      </c>
      <c r="DB32" s="70">
        <v>0.91857</v>
      </c>
      <c r="DC32" s="70">
        <v>0.92686999999999997</v>
      </c>
      <c r="DD32" s="70">
        <v>0.93569000000000002</v>
      </c>
      <c r="DE32" s="70">
        <v>0.94499999999999995</v>
      </c>
    </row>
    <row r="33" spans="1:109" ht="21" x14ac:dyDescent="0.4">
      <c r="A33" s="66"/>
      <c r="B33" s="66"/>
      <c r="C33" s="66"/>
      <c r="D33" s="61">
        <v>33</v>
      </c>
      <c r="E33" s="67">
        <v>0.45126000000000011</v>
      </c>
      <c r="F33" s="67">
        <v>0.46204000000000012</v>
      </c>
      <c r="G33" s="67">
        <v>0.47299000000000008</v>
      </c>
      <c r="H33" s="67">
        <v>0.48410000000000014</v>
      </c>
      <c r="I33" s="67">
        <v>0.49536000000000019</v>
      </c>
      <c r="J33" s="67">
        <v>0.50677000000000016</v>
      </c>
      <c r="K33" s="67">
        <v>0.5183000000000002</v>
      </c>
      <c r="L33" s="67">
        <v>0.52993000000000023</v>
      </c>
      <c r="M33" s="67">
        <v>0.54165000000000008</v>
      </c>
      <c r="N33" s="67">
        <v>0.55343000000000009</v>
      </c>
      <c r="O33" s="67">
        <v>0.5652600000000001</v>
      </c>
      <c r="P33" s="67">
        <v>0.57716000000000012</v>
      </c>
      <c r="Q33" s="67">
        <v>0.5891200000000002</v>
      </c>
      <c r="R33" s="67">
        <v>0.60114000000000023</v>
      </c>
      <c r="S33" s="67">
        <v>0.61320000000000008</v>
      </c>
      <c r="T33" s="67">
        <v>0.62531000000000025</v>
      </c>
      <c r="U33" s="67">
        <v>0.63741000000000014</v>
      </c>
      <c r="V33" s="67">
        <v>0.64948000000000028</v>
      </c>
      <c r="W33" s="67">
        <v>0.66148000000000029</v>
      </c>
      <c r="X33" s="68">
        <v>0.67340000000000022</v>
      </c>
      <c r="Y33" s="68">
        <v>0.68522000000000027</v>
      </c>
      <c r="Z33" s="68">
        <v>0.69695000000000029</v>
      </c>
      <c r="AA33" s="68">
        <v>0.70860000000000023</v>
      </c>
      <c r="AB33" s="68">
        <v>0.72016000000000024</v>
      </c>
      <c r="AC33" s="68">
        <v>0.73162000000000027</v>
      </c>
      <c r="AD33" s="68">
        <v>0.74293000000000031</v>
      </c>
      <c r="AE33" s="69">
        <v>0.75405000000000033</v>
      </c>
      <c r="AF33" s="68">
        <v>0.76489000000000029</v>
      </c>
      <c r="AG33" s="68">
        <v>0.77541000000000027</v>
      </c>
      <c r="AH33" s="68">
        <v>0.78557000000000032</v>
      </c>
      <c r="AI33" s="68">
        <v>0.79538000000000031</v>
      </c>
      <c r="AJ33" s="68">
        <v>0.80486000000000024</v>
      </c>
      <c r="AK33" s="68">
        <v>0.81406000000000034</v>
      </c>
      <c r="AL33" s="68">
        <v>0.82303000000000026</v>
      </c>
      <c r="AM33" s="68">
        <v>0.8317800000000003</v>
      </c>
      <c r="AN33" s="68">
        <v>0.84029000000000031</v>
      </c>
      <c r="AO33" s="68">
        <v>0.84852000000000027</v>
      </c>
      <c r="AP33" s="68">
        <v>0.85640000000000038</v>
      </c>
      <c r="AQ33" s="68">
        <v>0.86387000000000036</v>
      </c>
      <c r="AR33" s="68">
        <v>0.87092000000000036</v>
      </c>
      <c r="AS33" s="68">
        <v>0.8775900000000002</v>
      </c>
      <c r="AT33" s="68">
        <v>0.88393000000000033</v>
      </c>
      <c r="AU33" s="68">
        <v>0.89002000000000037</v>
      </c>
      <c r="AV33" s="68">
        <v>0.89596000000000031</v>
      </c>
      <c r="AW33" s="68">
        <v>0.90188000000000035</v>
      </c>
      <c r="AX33" s="68">
        <v>0.90789000000000042</v>
      </c>
      <c r="AY33" s="68">
        <v>0.91418000000000044</v>
      </c>
      <c r="AZ33" s="68">
        <v>0.92093000000000036</v>
      </c>
      <c r="BA33" s="68">
        <v>0.92834000000000039</v>
      </c>
      <c r="BB33" s="68">
        <v>0.93652000000000024</v>
      </c>
      <c r="BC33" s="68">
        <v>0.94540000000000035</v>
      </c>
      <c r="BD33" s="68">
        <v>0.95468000000000042</v>
      </c>
      <c r="BE33" s="68"/>
      <c r="BF33" s="70">
        <v>0.40007999999999999</v>
      </c>
      <c r="BG33" s="70">
        <v>0.40977000000000002</v>
      </c>
      <c r="BH33" s="70">
        <v>0.41963</v>
      </c>
      <c r="BI33" s="70">
        <v>0.42967</v>
      </c>
      <c r="BJ33" s="70">
        <v>0.43986999999999998</v>
      </c>
      <c r="BK33" s="70">
        <v>0.45024999999999998</v>
      </c>
      <c r="BL33" s="70">
        <v>0.46078999999999998</v>
      </c>
      <c r="BM33" s="70">
        <v>0.47149000000000002</v>
      </c>
      <c r="BN33" s="70">
        <v>0.48232999999999998</v>
      </c>
      <c r="BO33" s="70">
        <v>0.49332999999999999</v>
      </c>
      <c r="BP33" s="70">
        <v>0.50448999999999999</v>
      </c>
      <c r="BQ33" s="70">
        <v>0.51585000000000003</v>
      </c>
      <c r="BR33" s="70">
        <v>0.52742999999999995</v>
      </c>
      <c r="BS33" s="70">
        <v>0.53924000000000005</v>
      </c>
      <c r="BT33" s="70">
        <v>0.55128999999999995</v>
      </c>
      <c r="BU33" s="70">
        <v>0.56355</v>
      </c>
      <c r="BV33" s="70">
        <v>0.57599</v>
      </c>
      <c r="BW33" s="70">
        <v>0.58853999999999995</v>
      </c>
      <c r="BX33" s="70">
        <v>0.60116000000000003</v>
      </c>
      <c r="BY33" s="70">
        <v>0.61382000000000003</v>
      </c>
      <c r="BZ33" s="70">
        <v>0.62653000000000003</v>
      </c>
      <c r="CA33" s="70">
        <v>0.63929999999999998</v>
      </c>
      <c r="CB33" s="70">
        <v>0.65217000000000003</v>
      </c>
      <c r="CC33" s="70">
        <v>0.66517000000000004</v>
      </c>
      <c r="CD33" s="70">
        <v>0.67830000000000001</v>
      </c>
      <c r="CE33" s="70">
        <v>0.6915</v>
      </c>
      <c r="CF33" s="70">
        <v>0.70470999999999995</v>
      </c>
      <c r="CG33" s="70">
        <v>0.71782000000000001</v>
      </c>
      <c r="CH33" s="70">
        <v>0.73073999999999995</v>
      </c>
      <c r="CI33" s="70">
        <v>0.74341000000000002</v>
      </c>
      <c r="CJ33" s="70">
        <v>0.75580999999999998</v>
      </c>
      <c r="CK33" s="70">
        <v>0.76793999999999996</v>
      </c>
      <c r="CL33" s="70">
        <v>0.77981</v>
      </c>
      <c r="CM33" s="70">
        <v>0.79146000000000005</v>
      </c>
      <c r="CN33" s="70">
        <v>0.80286999999999997</v>
      </c>
      <c r="CO33" s="70">
        <v>0.81399999999999995</v>
      </c>
      <c r="CP33" s="70">
        <v>0.82477999999999996</v>
      </c>
      <c r="CQ33" s="70">
        <v>0.83513999999999999</v>
      </c>
      <c r="CR33" s="70">
        <v>0.84502999999999995</v>
      </c>
      <c r="CS33" s="70">
        <v>0.85441999999999996</v>
      </c>
      <c r="CT33" s="70">
        <v>0.86334</v>
      </c>
      <c r="CU33" s="70">
        <v>0.87182999999999999</v>
      </c>
      <c r="CV33" s="70">
        <v>0.87995999999999996</v>
      </c>
      <c r="CW33" s="70">
        <v>0.88780000000000003</v>
      </c>
      <c r="CX33" s="70">
        <v>0.89546000000000003</v>
      </c>
      <c r="CY33" s="70">
        <v>0.90303999999999995</v>
      </c>
      <c r="CZ33" s="70">
        <v>0.91069</v>
      </c>
      <c r="DA33" s="70">
        <v>0.91857</v>
      </c>
      <c r="DB33" s="70">
        <v>0.92686999999999997</v>
      </c>
      <c r="DC33" s="70">
        <v>0.93569000000000002</v>
      </c>
      <c r="DD33" s="70">
        <v>0.94499999999999995</v>
      </c>
      <c r="DE33" s="70">
        <v>0.95452999999999999</v>
      </c>
    </row>
    <row r="34" spans="1:109" ht="21" x14ac:dyDescent="0.4">
      <c r="A34" s="66"/>
      <c r="B34" s="66"/>
      <c r="C34" s="66"/>
      <c r="D34" s="61">
        <v>34</v>
      </c>
      <c r="E34" s="67">
        <v>0.46204000000000012</v>
      </c>
      <c r="F34" s="67">
        <v>0.47299000000000008</v>
      </c>
      <c r="G34" s="67">
        <v>0.48410000000000014</v>
      </c>
      <c r="H34" s="67">
        <v>0.49536000000000019</v>
      </c>
      <c r="I34" s="67">
        <v>0.50677000000000016</v>
      </c>
      <c r="J34" s="67">
        <v>0.5183000000000002</v>
      </c>
      <c r="K34" s="67">
        <v>0.52993000000000023</v>
      </c>
      <c r="L34" s="67">
        <v>0.54165000000000008</v>
      </c>
      <c r="M34" s="67">
        <v>0.55343000000000009</v>
      </c>
      <c r="N34" s="67">
        <v>0.5652600000000001</v>
      </c>
      <c r="O34" s="67">
        <v>0.57716000000000012</v>
      </c>
      <c r="P34" s="67">
        <v>0.5891200000000002</v>
      </c>
      <c r="Q34" s="67">
        <v>0.60114000000000023</v>
      </c>
      <c r="R34" s="67">
        <v>0.61320000000000008</v>
      </c>
      <c r="S34" s="67">
        <v>0.62531000000000025</v>
      </c>
      <c r="T34" s="67">
        <v>0.63741000000000014</v>
      </c>
      <c r="U34" s="67">
        <v>0.64948000000000006</v>
      </c>
      <c r="V34" s="67">
        <v>0.66148000000000007</v>
      </c>
      <c r="W34" s="67">
        <v>0.67340000000000011</v>
      </c>
      <c r="X34" s="68">
        <v>0.68522000000000016</v>
      </c>
      <c r="Y34" s="68">
        <v>0.69695000000000007</v>
      </c>
      <c r="Z34" s="68">
        <v>0.70860000000000012</v>
      </c>
      <c r="AA34" s="68">
        <v>0.72016000000000002</v>
      </c>
      <c r="AB34" s="68">
        <v>0.73162000000000016</v>
      </c>
      <c r="AC34" s="68">
        <v>0.74293000000000009</v>
      </c>
      <c r="AD34" s="68">
        <v>0.75405000000000011</v>
      </c>
      <c r="AE34" s="69">
        <v>0.76489000000000007</v>
      </c>
      <c r="AF34" s="68">
        <v>0.77541000000000015</v>
      </c>
      <c r="AG34" s="68">
        <v>0.7855700000000001</v>
      </c>
      <c r="AH34" s="68">
        <v>0.79538000000000009</v>
      </c>
      <c r="AI34" s="68">
        <v>0.80486000000000013</v>
      </c>
      <c r="AJ34" s="68">
        <v>0.81406000000000023</v>
      </c>
      <c r="AK34" s="68">
        <v>0.82303000000000015</v>
      </c>
      <c r="AL34" s="68">
        <v>0.83178000000000007</v>
      </c>
      <c r="AM34" s="68">
        <v>0.84029000000000009</v>
      </c>
      <c r="AN34" s="68">
        <v>0.84852000000000016</v>
      </c>
      <c r="AO34" s="68">
        <v>0.85640000000000016</v>
      </c>
      <c r="AP34" s="68">
        <v>0.86387000000000014</v>
      </c>
      <c r="AQ34" s="68">
        <v>0.87092000000000014</v>
      </c>
      <c r="AR34" s="68">
        <v>0.87759000000000009</v>
      </c>
      <c r="AS34" s="68">
        <v>0.88393000000000022</v>
      </c>
      <c r="AT34" s="68">
        <v>0.89002000000000014</v>
      </c>
      <c r="AU34" s="68">
        <v>0.89596000000000009</v>
      </c>
      <c r="AV34" s="68">
        <v>0.90188000000000024</v>
      </c>
      <c r="AW34" s="68">
        <v>0.90789000000000009</v>
      </c>
      <c r="AX34" s="68">
        <v>0.91418000000000021</v>
      </c>
      <c r="AY34" s="68">
        <v>0.92093000000000014</v>
      </c>
      <c r="AZ34" s="68">
        <v>0.92834000000000017</v>
      </c>
      <c r="BA34" s="68">
        <v>0.93652000000000013</v>
      </c>
      <c r="BB34" s="68">
        <v>0.94540000000000024</v>
      </c>
      <c r="BC34" s="68">
        <v>0.9546800000000002</v>
      </c>
      <c r="BD34" s="68">
        <v>0.96367000000000014</v>
      </c>
      <c r="BE34" s="68"/>
      <c r="BF34" s="70">
        <v>0.40977000000000002</v>
      </c>
      <c r="BG34" s="70">
        <v>0.41963</v>
      </c>
      <c r="BH34" s="70">
        <v>0.42967</v>
      </c>
      <c r="BI34" s="70">
        <v>0.43986999999999998</v>
      </c>
      <c r="BJ34" s="70">
        <v>0.45024999999999998</v>
      </c>
      <c r="BK34" s="70">
        <v>0.46078999999999998</v>
      </c>
      <c r="BL34" s="70">
        <v>0.47149000000000002</v>
      </c>
      <c r="BM34" s="70">
        <v>0.48232999999999998</v>
      </c>
      <c r="BN34" s="70">
        <v>0.49332999999999999</v>
      </c>
      <c r="BO34" s="70">
        <v>0.50448999999999999</v>
      </c>
      <c r="BP34" s="70">
        <v>0.51585000000000003</v>
      </c>
      <c r="BQ34" s="70">
        <v>0.52742999999999995</v>
      </c>
      <c r="BR34" s="70">
        <v>0.53924000000000005</v>
      </c>
      <c r="BS34" s="70">
        <v>0.55128999999999995</v>
      </c>
      <c r="BT34" s="70">
        <v>0.56355</v>
      </c>
      <c r="BU34" s="70">
        <v>0.57599</v>
      </c>
      <c r="BV34" s="70">
        <v>0.58853999999999995</v>
      </c>
      <c r="BW34" s="70">
        <v>0.60116000000000003</v>
      </c>
      <c r="BX34" s="70">
        <v>0.61382000000000003</v>
      </c>
      <c r="BY34" s="70">
        <v>0.62653000000000003</v>
      </c>
      <c r="BZ34" s="70">
        <v>0.63929999999999998</v>
      </c>
      <c r="CA34" s="70">
        <v>0.65217000000000003</v>
      </c>
      <c r="CB34" s="70">
        <v>0.66517000000000004</v>
      </c>
      <c r="CC34" s="70">
        <v>0.67830000000000001</v>
      </c>
      <c r="CD34" s="70">
        <v>0.6915</v>
      </c>
      <c r="CE34" s="70">
        <v>0.70470999999999995</v>
      </c>
      <c r="CF34" s="70">
        <v>0.71782000000000001</v>
      </c>
      <c r="CG34" s="70">
        <v>0.73073999999999995</v>
      </c>
      <c r="CH34" s="70">
        <v>0.74341000000000002</v>
      </c>
      <c r="CI34" s="70">
        <v>0.75580999999999998</v>
      </c>
      <c r="CJ34" s="70">
        <v>0.76793999999999996</v>
      </c>
      <c r="CK34" s="70">
        <v>0.77981</v>
      </c>
      <c r="CL34" s="70">
        <v>0.79146000000000005</v>
      </c>
      <c r="CM34" s="70">
        <v>0.80286999999999997</v>
      </c>
      <c r="CN34" s="70">
        <v>0.81399999999999995</v>
      </c>
      <c r="CO34" s="70">
        <v>0.82477999999999996</v>
      </c>
      <c r="CP34" s="70">
        <v>0.83513999999999999</v>
      </c>
      <c r="CQ34" s="70">
        <v>0.84502999999999995</v>
      </c>
      <c r="CR34" s="70">
        <v>0.85441999999999996</v>
      </c>
      <c r="CS34" s="70">
        <v>0.86334</v>
      </c>
      <c r="CT34" s="70">
        <v>0.87182999999999999</v>
      </c>
      <c r="CU34" s="70">
        <v>0.87995999999999996</v>
      </c>
      <c r="CV34" s="70">
        <v>0.88780000000000003</v>
      </c>
      <c r="CW34" s="70">
        <v>0.89546000000000003</v>
      </c>
      <c r="CX34" s="70">
        <v>0.90303999999999995</v>
      </c>
      <c r="CY34" s="70">
        <v>0.91069</v>
      </c>
      <c r="CZ34" s="70">
        <v>0.91857</v>
      </c>
      <c r="DA34" s="70">
        <v>0.92686999999999997</v>
      </c>
      <c r="DB34" s="70">
        <v>0.93569000000000002</v>
      </c>
      <c r="DC34" s="70">
        <v>0.94499999999999995</v>
      </c>
      <c r="DD34" s="70">
        <v>0.95452999999999999</v>
      </c>
      <c r="DE34" s="70">
        <v>0.96362999999999999</v>
      </c>
    </row>
    <row r="35" spans="1:109" ht="21" x14ac:dyDescent="0.4">
      <c r="A35" s="66"/>
      <c r="B35" s="66"/>
      <c r="C35" s="66"/>
      <c r="D35" s="61">
        <v>35</v>
      </c>
      <c r="E35" s="67">
        <v>0.47299000000000008</v>
      </c>
      <c r="F35" s="67">
        <v>0.48410000000000014</v>
      </c>
      <c r="G35" s="67">
        <v>0.49536000000000019</v>
      </c>
      <c r="H35" s="67">
        <v>0.50677000000000016</v>
      </c>
      <c r="I35" s="67">
        <v>0.5183000000000002</v>
      </c>
      <c r="J35" s="67">
        <v>0.52993000000000023</v>
      </c>
      <c r="K35" s="67">
        <v>0.54165000000000008</v>
      </c>
      <c r="L35" s="67">
        <v>0.55343000000000009</v>
      </c>
      <c r="M35" s="67">
        <v>0.5652600000000001</v>
      </c>
      <c r="N35" s="67">
        <v>0.57716000000000012</v>
      </c>
      <c r="O35" s="67">
        <v>0.5891200000000002</v>
      </c>
      <c r="P35" s="67">
        <v>0.60114000000000023</v>
      </c>
      <c r="Q35" s="67">
        <v>0.61320000000000008</v>
      </c>
      <c r="R35" s="67">
        <v>0.62531000000000025</v>
      </c>
      <c r="S35" s="67">
        <v>0.63741000000000014</v>
      </c>
      <c r="T35" s="67">
        <v>0.64948000000000006</v>
      </c>
      <c r="U35" s="67">
        <v>0.66148000000000007</v>
      </c>
      <c r="V35" s="67">
        <v>0.67340000000000011</v>
      </c>
      <c r="W35" s="67">
        <v>0.68522000000000005</v>
      </c>
      <c r="X35" s="68">
        <v>0.69695000000000007</v>
      </c>
      <c r="Y35" s="68">
        <v>0.70860000000000001</v>
      </c>
      <c r="Z35" s="68">
        <v>0.72016000000000013</v>
      </c>
      <c r="AA35" s="68">
        <v>0.73162000000000005</v>
      </c>
      <c r="AB35" s="68">
        <v>0.74293000000000009</v>
      </c>
      <c r="AC35" s="68">
        <v>0.75405000000000011</v>
      </c>
      <c r="AD35" s="68">
        <v>0.76489000000000018</v>
      </c>
      <c r="AE35" s="69">
        <v>0.77541000000000015</v>
      </c>
      <c r="AF35" s="68">
        <v>0.78556999999999999</v>
      </c>
      <c r="AG35" s="68">
        <v>0.79538000000000009</v>
      </c>
      <c r="AH35" s="68">
        <v>0.80486000000000002</v>
      </c>
      <c r="AI35" s="68">
        <v>0.81406000000000012</v>
      </c>
      <c r="AJ35" s="68">
        <v>0.82303000000000015</v>
      </c>
      <c r="AK35" s="68">
        <v>0.83178000000000007</v>
      </c>
      <c r="AL35" s="68">
        <v>0.8402900000000002</v>
      </c>
      <c r="AM35" s="68">
        <v>0.84852000000000016</v>
      </c>
      <c r="AN35" s="68">
        <v>0.85640000000000016</v>
      </c>
      <c r="AO35" s="68">
        <v>0.86387000000000014</v>
      </c>
      <c r="AP35" s="68">
        <v>0.87092000000000014</v>
      </c>
      <c r="AQ35" s="68">
        <v>0.8775900000000002</v>
      </c>
      <c r="AR35" s="68">
        <v>0.8839300000000001</v>
      </c>
      <c r="AS35" s="68">
        <v>0.89002000000000014</v>
      </c>
      <c r="AT35" s="68">
        <v>0.8959600000000002</v>
      </c>
      <c r="AU35" s="68">
        <v>0.90188000000000024</v>
      </c>
      <c r="AV35" s="68">
        <v>0.90789000000000009</v>
      </c>
      <c r="AW35" s="68">
        <v>0.91417999999999999</v>
      </c>
      <c r="AX35" s="68">
        <v>0.92093000000000014</v>
      </c>
      <c r="AY35" s="68">
        <v>0.92834000000000005</v>
      </c>
      <c r="AZ35" s="68">
        <v>0.93652000000000013</v>
      </c>
      <c r="BA35" s="68">
        <v>0.94540000000000013</v>
      </c>
      <c r="BB35" s="68">
        <v>0.95468000000000008</v>
      </c>
      <c r="BC35" s="68">
        <v>0.96367000000000003</v>
      </c>
      <c r="BD35" s="68">
        <v>0.97087000000000012</v>
      </c>
      <c r="BE35" s="68"/>
      <c r="BF35" s="70">
        <v>0.41963</v>
      </c>
      <c r="BG35" s="70">
        <v>0.42967</v>
      </c>
      <c r="BH35" s="70">
        <v>0.43986999999999998</v>
      </c>
      <c r="BI35" s="70">
        <v>0.45024999999999998</v>
      </c>
      <c r="BJ35" s="70">
        <v>0.46078999999999998</v>
      </c>
      <c r="BK35" s="70">
        <v>0.47149000000000002</v>
      </c>
      <c r="BL35" s="70">
        <v>0.48232999999999998</v>
      </c>
      <c r="BM35" s="70">
        <v>0.49332999999999999</v>
      </c>
      <c r="BN35" s="70">
        <v>0.50448999999999999</v>
      </c>
      <c r="BO35" s="70">
        <v>0.51585000000000003</v>
      </c>
      <c r="BP35" s="70">
        <v>0.52742999999999995</v>
      </c>
      <c r="BQ35" s="70">
        <v>0.53924000000000005</v>
      </c>
      <c r="BR35" s="70">
        <v>0.55128999999999995</v>
      </c>
      <c r="BS35" s="70">
        <v>0.56355</v>
      </c>
      <c r="BT35" s="70">
        <v>0.57599</v>
      </c>
      <c r="BU35" s="70">
        <v>0.58853999999999995</v>
      </c>
      <c r="BV35" s="70">
        <v>0.60116000000000003</v>
      </c>
      <c r="BW35" s="70">
        <v>0.61382000000000003</v>
      </c>
      <c r="BX35" s="70">
        <v>0.62653000000000003</v>
      </c>
      <c r="BY35" s="70">
        <v>0.63929999999999998</v>
      </c>
      <c r="BZ35" s="70">
        <v>0.65217000000000003</v>
      </c>
      <c r="CA35" s="70">
        <v>0.66517000000000004</v>
      </c>
      <c r="CB35" s="70">
        <v>0.67830000000000001</v>
      </c>
      <c r="CC35" s="70">
        <v>0.6915</v>
      </c>
      <c r="CD35" s="70">
        <v>0.70470999999999995</v>
      </c>
      <c r="CE35" s="70">
        <v>0.71782000000000001</v>
      </c>
      <c r="CF35" s="70">
        <v>0.73073999999999995</v>
      </c>
      <c r="CG35" s="70">
        <v>0.74341000000000002</v>
      </c>
      <c r="CH35" s="70">
        <v>0.75580999999999998</v>
      </c>
      <c r="CI35" s="70">
        <v>0.76793999999999996</v>
      </c>
      <c r="CJ35" s="70">
        <v>0.77981</v>
      </c>
      <c r="CK35" s="70">
        <v>0.79146000000000005</v>
      </c>
      <c r="CL35" s="70">
        <v>0.80286999999999997</v>
      </c>
      <c r="CM35" s="70">
        <v>0.81399999999999995</v>
      </c>
      <c r="CN35" s="70">
        <v>0.82477999999999996</v>
      </c>
      <c r="CO35" s="70">
        <v>0.83513999999999999</v>
      </c>
      <c r="CP35" s="70">
        <v>0.84502999999999995</v>
      </c>
      <c r="CQ35" s="70">
        <v>0.85441999999999996</v>
      </c>
      <c r="CR35" s="70">
        <v>0.86334</v>
      </c>
      <c r="CS35" s="70">
        <v>0.87182999999999999</v>
      </c>
      <c r="CT35" s="70">
        <v>0.87995999999999996</v>
      </c>
      <c r="CU35" s="70">
        <v>0.88780000000000003</v>
      </c>
      <c r="CV35" s="70">
        <v>0.89546000000000003</v>
      </c>
      <c r="CW35" s="70">
        <v>0.90303999999999995</v>
      </c>
      <c r="CX35" s="70">
        <v>0.91069</v>
      </c>
      <c r="CY35" s="70">
        <v>0.91857</v>
      </c>
      <c r="CZ35" s="70">
        <v>0.92686999999999997</v>
      </c>
      <c r="DA35" s="70">
        <v>0.93569000000000002</v>
      </c>
      <c r="DB35" s="70">
        <v>0.94499999999999995</v>
      </c>
      <c r="DC35" s="70">
        <v>0.95452999999999999</v>
      </c>
      <c r="DD35" s="70">
        <v>0.96362999999999999</v>
      </c>
      <c r="DE35" s="70">
        <v>0.97087000000000001</v>
      </c>
    </row>
    <row r="36" spans="1:109" ht="21" x14ac:dyDescent="0.4">
      <c r="A36" s="66"/>
      <c r="B36" s="66"/>
      <c r="C36" s="66"/>
      <c r="D36" s="61">
        <v>36</v>
      </c>
      <c r="E36" s="67">
        <v>0.48410000000000014</v>
      </c>
      <c r="F36" s="67">
        <v>0.49536000000000019</v>
      </c>
      <c r="G36" s="67">
        <v>0.50677000000000016</v>
      </c>
      <c r="H36" s="67">
        <v>0.5183000000000002</v>
      </c>
      <c r="I36" s="67">
        <v>0.52993000000000023</v>
      </c>
      <c r="J36" s="67">
        <v>0.54165000000000008</v>
      </c>
      <c r="K36" s="67">
        <v>0.55343000000000009</v>
      </c>
      <c r="L36" s="67">
        <v>0.5652600000000001</v>
      </c>
      <c r="M36" s="67">
        <v>0.57716000000000012</v>
      </c>
      <c r="N36" s="67">
        <v>0.5891200000000002</v>
      </c>
      <c r="O36" s="67">
        <v>0.60114000000000023</v>
      </c>
      <c r="P36" s="67">
        <v>0.61320000000000008</v>
      </c>
      <c r="Q36" s="67">
        <v>0.62531000000000025</v>
      </c>
      <c r="R36" s="67">
        <v>0.63741000000000014</v>
      </c>
      <c r="S36" s="67">
        <v>0.64948000000000006</v>
      </c>
      <c r="T36" s="67">
        <v>0.66148000000000007</v>
      </c>
      <c r="U36" s="67">
        <v>0.67340000000000011</v>
      </c>
      <c r="V36" s="67">
        <v>0.68522000000000016</v>
      </c>
      <c r="W36" s="67">
        <v>0.69695000000000007</v>
      </c>
      <c r="X36" s="68">
        <v>0.70860000000000012</v>
      </c>
      <c r="Y36" s="68">
        <v>0.72016000000000002</v>
      </c>
      <c r="Z36" s="68">
        <v>0.73162000000000016</v>
      </c>
      <c r="AA36" s="68">
        <v>0.7429300000000002</v>
      </c>
      <c r="AB36" s="68">
        <v>0.75405000000000011</v>
      </c>
      <c r="AC36" s="68">
        <v>0.76489000000000018</v>
      </c>
      <c r="AD36" s="68">
        <v>0.77541000000000015</v>
      </c>
      <c r="AE36" s="69">
        <v>0.7855700000000001</v>
      </c>
      <c r="AF36" s="68">
        <v>0.79538000000000009</v>
      </c>
      <c r="AG36" s="68">
        <v>0.80486000000000013</v>
      </c>
      <c r="AH36" s="68">
        <v>0.81406000000000012</v>
      </c>
      <c r="AI36" s="68">
        <v>0.82303000000000004</v>
      </c>
      <c r="AJ36" s="68">
        <v>0.83178000000000019</v>
      </c>
      <c r="AK36" s="68">
        <v>0.84028999999999998</v>
      </c>
      <c r="AL36" s="68">
        <v>0.84852000000000016</v>
      </c>
      <c r="AM36" s="68">
        <v>0.85640000000000016</v>
      </c>
      <c r="AN36" s="68">
        <v>0.86387000000000014</v>
      </c>
      <c r="AO36" s="68">
        <v>0.87092000000000014</v>
      </c>
      <c r="AP36" s="68">
        <v>0.8775900000000002</v>
      </c>
      <c r="AQ36" s="68">
        <v>0.8839300000000001</v>
      </c>
      <c r="AR36" s="68">
        <v>0.89002000000000014</v>
      </c>
      <c r="AS36" s="68">
        <v>0.89596000000000009</v>
      </c>
      <c r="AT36" s="68">
        <v>0.90188000000000001</v>
      </c>
      <c r="AU36" s="68">
        <v>0.90789000000000009</v>
      </c>
      <c r="AV36" s="68">
        <v>0.91418000000000021</v>
      </c>
      <c r="AW36" s="68">
        <v>0.92093000000000014</v>
      </c>
      <c r="AX36" s="68">
        <v>0.92834000000000017</v>
      </c>
      <c r="AY36" s="68">
        <v>0.93652000000000013</v>
      </c>
      <c r="AZ36" s="68">
        <v>0.94540000000000002</v>
      </c>
      <c r="BA36" s="68">
        <v>0.9546800000000002</v>
      </c>
      <c r="BB36" s="68">
        <v>0.96367000000000014</v>
      </c>
      <c r="BC36" s="68">
        <v>0.97087000000000001</v>
      </c>
      <c r="BD36" s="68">
        <v>1.0000000000000002</v>
      </c>
      <c r="BE36" s="68"/>
      <c r="BF36" s="70">
        <v>0.42967</v>
      </c>
      <c r="BG36" s="70">
        <v>0.43986999999999998</v>
      </c>
      <c r="BH36" s="70">
        <v>0.45024999999999998</v>
      </c>
      <c r="BI36" s="70">
        <v>0.46078999999999998</v>
      </c>
      <c r="BJ36" s="70">
        <v>0.47149000000000002</v>
      </c>
      <c r="BK36" s="70">
        <v>0.48232999999999998</v>
      </c>
      <c r="BL36" s="70">
        <v>0.49332999999999999</v>
      </c>
      <c r="BM36" s="70">
        <v>0.50448999999999999</v>
      </c>
      <c r="BN36" s="70">
        <v>0.51585000000000003</v>
      </c>
      <c r="BO36" s="70">
        <v>0.52742999999999995</v>
      </c>
      <c r="BP36" s="70">
        <v>0.53924000000000005</v>
      </c>
      <c r="BQ36" s="70">
        <v>0.55128999999999995</v>
      </c>
      <c r="BR36" s="70">
        <v>0.56355</v>
      </c>
      <c r="BS36" s="70">
        <v>0.57599</v>
      </c>
      <c r="BT36" s="70">
        <v>0.58853999999999995</v>
      </c>
      <c r="BU36" s="70">
        <v>0.60116000000000003</v>
      </c>
      <c r="BV36" s="70">
        <v>0.61382000000000003</v>
      </c>
      <c r="BW36" s="70">
        <v>0.62653000000000003</v>
      </c>
      <c r="BX36" s="70">
        <v>0.63929999999999998</v>
      </c>
      <c r="BY36" s="70">
        <v>0.65217000000000003</v>
      </c>
      <c r="BZ36" s="70">
        <v>0.66517000000000004</v>
      </c>
      <c r="CA36" s="70">
        <v>0.67830000000000001</v>
      </c>
      <c r="CB36" s="70">
        <v>0.6915</v>
      </c>
      <c r="CC36" s="70">
        <v>0.70470999999999995</v>
      </c>
      <c r="CD36" s="70">
        <v>0.71782000000000001</v>
      </c>
      <c r="CE36" s="70">
        <v>0.73073999999999995</v>
      </c>
      <c r="CF36" s="70">
        <v>0.74341000000000002</v>
      </c>
      <c r="CG36" s="70">
        <v>0.75580999999999998</v>
      </c>
      <c r="CH36" s="70">
        <v>0.76793999999999996</v>
      </c>
      <c r="CI36" s="70">
        <v>0.77981</v>
      </c>
      <c r="CJ36" s="70">
        <v>0.79146000000000005</v>
      </c>
      <c r="CK36" s="70">
        <v>0.80286999999999997</v>
      </c>
      <c r="CL36" s="70">
        <v>0.81399999999999995</v>
      </c>
      <c r="CM36" s="70">
        <v>0.82477999999999996</v>
      </c>
      <c r="CN36" s="70">
        <v>0.83513999999999999</v>
      </c>
      <c r="CO36" s="70">
        <v>0.84502999999999995</v>
      </c>
      <c r="CP36" s="70">
        <v>0.85441999999999996</v>
      </c>
      <c r="CQ36" s="70">
        <v>0.86334</v>
      </c>
      <c r="CR36" s="70">
        <v>0.87182999999999999</v>
      </c>
      <c r="CS36" s="70">
        <v>0.87995999999999996</v>
      </c>
      <c r="CT36" s="70">
        <v>0.88780000000000003</v>
      </c>
      <c r="CU36" s="70">
        <v>0.89546000000000003</v>
      </c>
      <c r="CV36" s="70">
        <v>0.90303999999999995</v>
      </c>
      <c r="CW36" s="70">
        <v>0.91069</v>
      </c>
      <c r="CX36" s="70">
        <v>0.91857</v>
      </c>
      <c r="CY36" s="70">
        <v>0.92686999999999997</v>
      </c>
      <c r="CZ36" s="70">
        <v>0.93569000000000002</v>
      </c>
      <c r="DA36" s="70">
        <v>0.94499999999999995</v>
      </c>
      <c r="DB36" s="70">
        <v>0.95452999999999999</v>
      </c>
      <c r="DC36" s="70">
        <v>0.96362999999999999</v>
      </c>
      <c r="DD36" s="70">
        <v>0.97087000000000001</v>
      </c>
      <c r="DE36" s="70">
        <v>1</v>
      </c>
    </row>
    <row r="37" spans="1:109" ht="21" x14ac:dyDescent="0.4">
      <c r="A37" s="66"/>
      <c r="B37" s="66"/>
      <c r="C37" s="66"/>
      <c r="D37" s="61">
        <v>37</v>
      </c>
      <c r="E37" s="67">
        <v>0.49536000000000019</v>
      </c>
      <c r="F37" s="67">
        <v>0.50677000000000016</v>
      </c>
      <c r="G37" s="67">
        <v>0.5183000000000002</v>
      </c>
      <c r="H37" s="67">
        <v>0.52993000000000023</v>
      </c>
      <c r="I37" s="67">
        <v>0.54165000000000008</v>
      </c>
      <c r="J37" s="67">
        <v>0.55343000000000009</v>
      </c>
      <c r="K37" s="67">
        <v>0.5652600000000001</v>
      </c>
      <c r="L37" s="67">
        <v>0.57716000000000012</v>
      </c>
      <c r="M37" s="67">
        <v>0.5891200000000002</v>
      </c>
      <c r="N37" s="67">
        <v>0.60114000000000023</v>
      </c>
      <c r="O37" s="67">
        <v>0.61320000000000008</v>
      </c>
      <c r="P37" s="67">
        <v>0.62531000000000025</v>
      </c>
      <c r="Q37" s="67">
        <v>0.63741000000000014</v>
      </c>
      <c r="R37" s="67">
        <v>0.64948000000000006</v>
      </c>
      <c r="S37" s="67">
        <v>0.66148000000000007</v>
      </c>
      <c r="T37" s="67">
        <v>0.67340000000000022</v>
      </c>
      <c r="U37" s="67">
        <v>0.68522000000000016</v>
      </c>
      <c r="V37" s="67">
        <v>0.69695000000000018</v>
      </c>
      <c r="W37" s="67">
        <v>0.70860000000000023</v>
      </c>
      <c r="X37" s="68">
        <v>0.72016000000000013</v>
      </c>
      <c r="Y37" s="68">
        <v>0.73162000000000027</v>
      </c>
      <c r="Z37" s="68">
        <v>0.7429300000000002</v>
      </c>
      <c r="AA37" s="68">
        <v>0.75405000000000022</v>
      </c>
      <c r="AB37" s="68">
        <v>0.76489000000000018</v>
      </c>
      <c r="AC37" s="68">
        <v>0.77541000000000015</v>
      </c>
      <c r="AD37" s="68">
        <v>0.78557000000000021</v>
      </c>
      <c r="AE37" s="69">
        <v>0.7953800000000002</v>
      </c>
      <c r="AF37" s="68">
        <v>0.80486000000000024</v>
      </c>
      <c r="AG37" s="68">
        <v>0.81406000000000023</v>
      </c>
      <c r="AH37" s="68">
        <v>0.82303000000000015</v>
      </c>
      <c r="AI37" s="68">
        <v>0.8317800000000003</v>
      </c>
      <c r="AJ37" s="68">
        <v>0.84029000000000031</v>
      </c>
      <c r="AK37" s="68">
        <v>0.84852000000000016</v>
      </c>
      <c r="AL37" s="68">
        <v>0.85640000000000027</v>
      </c>
      <c r="AM37" s="68">
        <v>0.86387000000000014</v>
      </c>
      <c r="AN37" s="68">
        <v>0.87092000000000025</v>
      </c>
      <c r="AO37" s="68">
        <v>0.87759000000000031</v>
      </c>
      <c r="AP37" s="68">
        <v>0.88393000000000022</v>
      </c>
      <c r="AQ37" s="68">
        <v>0.89002000000000026</v>
      </c>
      <c r="AR37" s="68">
        <v>0.8959600000000002</v>
      </c>
      <c r="AS37" s="68">
        <v>0.90188000000000024</v>
      </c>
      <c r="AT37" s="68">
        <v>0.9078900000000002</v>
      </c>
      <c r="AU37" s="68">
        <v>0.91418000000000033</v>
      </c>
      <c r="AV37" s="68">
        <v>0.92093000000000014</v>
      </c>
      <c r="AW37" s="68">
        <v>0.92834000000000017</v>
      </c>
      <c r="AX37" s="68">
        <v>0.93652000000000024</v>
      </c>
      <c r="AY37" s="68">
        <v>0.94540000000000035</v>
      </c>
      <c r="AZ37" s="68">
        <v>0.9546800000000002</v>
      </c>
      <c r="BA37" s="68">
        <v>0.96367000000000025</v>
      </c>
      <c r="BB37" s="68">
        <v>0.97087000000000023</v>
      </c>
      <c r="BC37" s="68">
        <v>1.0000000000000002</v>
      </c>
      <c r="BD37" s="71"/>
      <c r="BE37" s="71"/>
      <c r="BF37" s="70">
        <v>0.43986999999999998</v>
      </c>
      <c r="BG37" s="70">
        <v>0.45024999999999998</v>
      </c>
      <c r="BH37" s="70">
        <v>0.46078999999999998</v>
      </c>
      <c r="BI37" s="70">
        <v>0.47149000000000002</v>
      </c>
      <c r="BJ37" s="70">
        <v>0.48232999999999998</v>
      </c>
      <c r="BK37" s="70">
        <v>0.49332999999999999</v>
      </c>
      <c r="BL37" s="70">
        <v>0.50448999999999999</v>
      </c>
      <c r="BM37" s="70">
        <v>0.51585000000000003</v>
      </c>
      <c r="BN37" s="70">
        <v>0.52742999999999995</v>
      </c>
      <c r="BO37" s="70">
        <v>0.53924000000000005</v>
      </c>
      <c r="BP37" s="70">
        <v>0.55128999999999995</v>
      </c>
      <c r="BQ37" s="70">
        <v>0.56355</v>
      </c>
      <c r="BR37" s="70">
        <v>0.57599</v>
      </c>
      <c r="BS37" s="70">
        <v>0.58853999999999995</v>
      </c>
      <c r="BT37" s="70">
        <v>0.60116000000000003</v>
      </c>
      <c r="BU37" s="70">
        <v>0.61382000000000003</v>
      </c>
      <c r="BV37" s="70">
        <v>0.62653000000000003</v>
      </c>
      <c r="BW37" s="70">
        <v>0.63929999999999998</v>
      </c>
      <c r="BX37" s="70">
        <v>0.65217000000000003</v>
      </c>
      <c r="BY37" s="70">
        <v>0.66517000000000004</v>
      </c>
      <c r="BZ37" s="70">
        <v>0.67830000000000001</v>
      </c>
      <c r="CA37" s="70">
        <v>0.6915</v>
      </c>
      <c r="CB37" s="70">
        <v>0.70470999999999995</v>
      </c>
      <c r="CC37" s="70">
        <v>0.71782000000000001</v>
      </c>
      <c r="CD37" s="70">
        <v>0.73073999999999995</v>
      </c>
      <c r="CE37" s="70">
        <v>0.74341000000000002</v>
      </c>
      <c r="CF37" s="70">
        <v>0.75580999999999998</v>
      </c>
      <c r="CG37" s="70">
        <v>0.76793999999999996</v>
      </c>
      <c r="CH37" s="70">
        <v>0.77981</v>
      </c>
      <c r="CI37" s="70">
        <v>0.79146000000000005</v>
      </c>
      <c r="CJ37" s="70">
        <v>0.80286999999999997</v>
      </c>
      <c r="CK37" s="70">
        <v>0.81399999999999995</v>
      </c>
      <c r="CL37" s="70">
        <v>0.82477999999999996</v>
      </c>
      <c r="CM37" s="70">
        <v>0.83513999999999999</v>
      </c>
      <c r="CN37" s="70">
        <v>0.84502999999999995</v>
      </c>
      <c r="CO37" s="70">
        <v>0.85441999999999996</v>
      </c>
      <c r="CP37" s="70">
        <v>0.86334</v>
      </c>
      <c r="CQ37" s="70">
        <v>0.87182999999999999</v>
      </c>
      <c r="CR37" s="70">
        <v>0.87995999999999996</v>
      </c>
      <c r="CS37" s="70">
        <v>0.88780000000000003</v>
      </c>
      <c r="CT37" s="70">
        <v>0.89546000000000003</v>
      </c>
      <c r="CU37" s="70">
        <v>0.90303999999999995</v>
      </c>
      <c r="CV37" s="70">
        <v>0.91069</v>
      </c>
      <c r="CW37" s="70">
        <v>0.91857</v>
      </c>
      <c r="CX37" s="70">
        <v>0.92686999999999997</v>
      </c>
      <c r="CY37" s="70">
        <v>0.93569000000000002</v>
      </c>
      <c r="CZ37" s="70">
        <v>0.94499999999999995</v>
      </c>
      <c r="DA37" s="70">
        <v>0.95452999999999999</v>
      </c>
      <c r="DB37" s="70">
        <v>0.96362999999999999</v>
      </c>
      <c r="DC37" s="70">
        <v>0.97087000000000001</v>
      </c>
      <c r="DD37" s="70">
        <v>1</v>
      </c>
      <c r="DE37" s="70"/>
    </row>
    <row r="38" spans="1:109" ht="21" x14ac:dyDescent="0.4">
      <c r="A38" s="66"/>
      <c r="B38" s="66"/>
      <c r="C38" s="66"/>
      <c r="D38" s="61">
        <v>38</v>
      </c>
      <c r="E38" s="67">
        <v>0.50677000000000016</v>
      </c>
      <c r="F38" s="67">
        <v>0.5183000000000002</v>
      </c>
      <c r="G38" s="67">
        <v>0.52993000000000023</v>
      </c>
      <c r="H38" s="67">
        <v>0.54165000000000008</v>
      </c>
      <c r="I38" s="67">
        <v>0.55343000000000009</v>
      </c>
      <c r="J38" s="67">
        <v>0.5652600000000001</v>
      </c>
      <c r="K38" s="67">
        <v>0.57716000000000012</v>
      </c>
      <c r="L38" s="67">
        <v>0.5891200000000002</v>
      </c>
      <c r="M38" s="67">
        <v>0.60114000000000023</v>
      </c>
      <c r="N38" s="67">
        <v>0.61320000000000008</v>
      </c>
      <c r="O38" s="67">
        <v>0.62531000000000025</v>
      </c>
      <c r="P38" s="67">
        <v>0.63741000000000014</v>
      </c>
      <c r="Q38" s="67">
        <v>0.64948000000000006</v>
      </c>
      <c r="R38" s="67">
        <v>0.66148000000000007</v>
      </c>
      <c r="S38" s="67">
        <v>0.67340000000000022</v>
      </c>
      <c r="T38" s="67">
        <v>0.68522000000000027</v>
      </c>
      <c r="U38" s="67">
        <v>0.69695000000000018</v>
      </c>
      <c r="V38" s="67">
        <v>0.70860000000000012</v>
      </c>
      <c r="W38" s="67">
        <v>0.72016000000000013</v>
      </c>
      <c r="X38" s="68">
        <v>0.73162000000000027</v>
      </c>
      <c r="Y38" s="68">
        <v>0.7429300000000002</v>
      </c>
      <c r="Z38" s="68">
        <v>0.75405000000000011</v>
      </c>
      <c r="AA38" s="68">
        <v>0.76489000000000018</v>
      </c>
      <c r="AB38" s="68">
        <v>0.77541000000000015</v>
      </c>
      <c r="AC38" s="68">
        <v>0.78557000000000021</v>
      </c>
      <c r="AD38" s="68">
        <v>0.7953800000000002</v>
      </c>
      <c r="AE38" s="69">
        <v>0.80486000000000024</v>
      </c>
      <c r="AF38" s="68">
        <v>0.81406000000000023</v>
      </c>
      <c r="AG38" s="68">
        <v>0.82303000000000026</v>
      </c>
      <c r="AH38" s="68">
        <v>0.83178000000000019</v>
      </c>
      <c r="AI38" s="68">
        <v>0.8402900000000002</v>
      </c>
      <c r="AJ38" s="68">
        <v>0.84852000000000027</v>
      </c>
      <c r="AK38" s="68">
        <v>0.85640000000000027</v>
      </c>
      <c r="AL38" s="68">
        <v>0.86387000000000014</v>
      </c>
      <c r="AM38" s="68">
        <v>0.87092000000000025</v>
      </c>
      <c r="AN38" s="68">
        <v>0.8775900000000002</v>
      </c>
      <c r="AO38" s="68">
        <v>0.88393000000000022</v>
      </c>
      <c r="AP38" s="68">
        <v>0.89002000000000026</v>
      </c>
      <c r="AQ38" s="68">
        <v>0.8959600000000002</v>
      </c>
      <c r="AR38" s="68">
        <v>0.90188000000000035</v>
      </c>
      <c r="AS38" s="68">
        <v>0.9078900000000002</v>
      </c>
      <c r="AT38" s="68">
        <v>0.91418000000000033</v>
      </c>
      <c r="AU38" s="68">
        <v>0.92093000000000025</v>
      </c>
      <c r="AV38" s="68">
        <v>0.92834000000000028</v>
      </c>
      <c r="AW38" s="68">
        <v>0.93652000000000024</v>
      </c>
      <c r="AX38" s="68">
        <v>0.94540000000000024</v>
      </c>
      <c r="AY38" s="68">
        <v>0.9546800000000002</v>
      </c>
      <c r="AZ38" s="68">
        <v>0.96367000000000025</v>
      </c>
      <c r="BA38" s="68">
        <v>0.97087000000000034</v>
      </c>
      <c r="BB38" s="68">
        <v>1.0000000000000002</v>
      </c>
      <c r="BC38" s="71"/>
      <c r="BD38" s="71"/>
      <c r="BE38" s="71"/>
      <c r="BF38" s="70">
        <v>0.45024999999999998</v>
      </c>
      <c r="BG38" s="70">
        <v>0.46078999999999998</v>
      </c>
      <c r="BH38" s="70">
        <v>0.47149000000000002</v>
      </c>
      <c r="BI38" s="70">
        <v>0.48232999999999998</v>
      </c>
      <c r="BJ38" s="70">
        <v>0.49332999999999999</v>
      </c>
      <c r="BK38" s="70">
        <v>0.50448999999999999</v>
      </c>
      <c r="BL38" s="70">
        <v>0.51585000000000003</v>
      </c>
      <c r="BM38" s="70">
        <v>0.52742999999999995</v>
      </c>
      <c r="BN38" s="70">
        <v>0.53924000000000005</v>
      </c>
      <c r="BO38" s="70">
        <v>0.55128999999999995</v>
      </c>
      <c r="BP38" s="70">
        <v>0.56355</v>
      </c>
      <c r="BQ38" s="70">
        <v>0.57599</v>
      </c>
      <c r="BR38" s="70">
        <v>0.58853999999999995</v>
      </c>
      <c r="BS38" s="70">
        <v>0.60116000000000003</v>
      </c>
      <c r="BT38" s="70">
        <v>0.61382000000000003</v>
      </c>
      <c r="BU38" s="70">
        <v>0.62653000000000003</v>
      </c>
      <c r="BV38" s="70">
        <v>0.63929999999999998</v>
      </c>
      <c r="BW38" s="70">
        <v>0.65217000000000003</v>
      </c>
      <c r="BX38" s="70">
        <v>0.66517000000000004</v>
      </c>
      <c r="BY38" s="70">
        <v>0.67830000000000001</v>
      </c>
      <c r="BZ38" s="70">
        <v>0.6915</v>
      </c>
      <c r="CA38" s="70">
        <v>0.70470999999999995</v>
      </c>
      <c r="CB38" s="70">
        <v>0.71782000000000001</v>
      </c>
      <c r="CC38" s="70">
        <v>0.73073999999999995</v>
      </c>
      <c r="CD38" s="70">
        <v>0.74341000000000002</v>
      </c>
      <c r="CE38" s="70">
        <v>0.75580999999999998</v>
      </c>
      <c r="CF38" s="70">
        <v>0.76793999999999996</v>
      </c>
      <c r="CG38" s="70">
        <v>0.77981</v>
      </c>
      <c r="CH38" s="70">
        <v>0.79146000000000005</v>
      </c>
      <c r="CI38" s="70">
        <v>0.80286999999999997</v>
      </c>
      <c r="CJ38" s="70">
        <v>0.81399999999999995</v>
      </c>
      <c r="CK38" s="70">
        <v>0.82477999999999996</v>
      </c>
      <c r="CL38" s="70">
        <v>0.83513999999999999</v>
      </c>
      <c r="CM38" s="70">
        <v>0.84502999999999995</v>
      </c>
      <c r="CN38" s="70">
        <v>0.85441999999999996</v>
      </c>
      <c r="CO38" s="70">
        <v>0.86334</v>
      </c>
      <c r="CP38" s="70">
        <v>0.87182999999999999</v>
      </c>
      <c r="CQ38" s="70">
        <v>0.87995999999999996</v>
      </c>
      <c r="CR38" s="70">
        <v>0.88780000000000003</v>
      </c>
      <c r="CS38" s="70">
        <v>0.89546000000000003</v>
      </c>
      <c r="CT38" s="70">
        <v>0.90303999999999995</v>
      </c>
      <c r="CU38" s="70">
        <v>0.91069</v>
      </c>
      <c r="CV38" s="70">
        <v>0.91857</v>
      </c>
      <c r="CW38" s="70">
        <v>0.92686999999999997</v>
      </c>
      <c r="CX38" s="70">
        <v>0.93569000000000002</v>
      </c>
      <c r="CY38" s="70">
        <v>0.94499999999999995</v>
      </c>
      <c r="CZ38" s="70">
        <v>0.95452999999999999</v>
      </c>
      <c r="DA38" s="70">
        <v>0.96362999999999999</v>
      </c>
      <c r="DB38" s="70">
        <v>0.97087000000000001</v>
      </c>
      <c r="DC38" s="70">
        <v>1</v>
      </c>
      <c r="DD38" s="70"/>
      <c r="DE38" s="70"/>
    </row>
    <row r="39" spans="1:109" ht="21" x14ac:dyDescent="0.4">
      <c r="A39" s="66"/>
      <c r="B39" s="66"/>
      <c r="C39" s="66"/>
      <c r="D39" s="61">
        <v>39</v>
      </c>
      <c r="E39" s="67">
        <v>0.5183000000000002</v>
      </c>
      <c r="F39" s="67">
        <v>0.52993000000000023</v>
      </c>
      <c r="G39" s="67">
        <v>0.54165000000000008</v>
      </c>
      <c r="H39" s="67">
        <v>0.55343000000000009</v>
      </c>
      <c r="I39" s="67">
        <v>0.5652600000000001</v>
      </c>
      <c r="J39" s="67">
        <v>0.57716000000000012</v>
      </c>
      <c r="K39" s="67">
        <v>0.5891200000000002</v>
      </c>
      <c r="L39" s="67">
        <v>0.60114000000000023</v>
      </c>
      <c r="M39" s="67">
        <v>0.61320000000000008</v>
      </c>
      <c r="N39" s="67">
        <v>0.62531000000000025</v>
      </c>
      <c r="O39" s="67">
        <v>0.63741000000000014</v>
      </c>
      <c r="P39" s="67">
        <v>0.64948000000000006</v>
      </c>
      <c r="Q39" s="67">
        <v>0.66148000000000007</v>
      </c>
      <c r="R39" s="67">
        <v>0.67340000000000022</v>
      </c>
      <c r="S39" s="67">
        <v>0.68522000000000027</v>
      </c>
      <c r="T39" s="67">
        <v>0.69695000000000018</v>
      </c>
      <c r="U39" s="67">
        <v>0.70860000000000023</v>
      </c>
      <c r="V39" s="67">
        <v>0.72016000000000024</v>
      </c>
      <c r="W39" s="67">
        <v>0.73162000000000016</v>
      </c>
      <c r="X39" s="68">
        <v>0.7429300000000002</v>
      </c>
      <c r="Y39" s="68">
        <v>0.75405000000000011</v>
      </c>
      <c r="Z39" s="68">
        <v>0.76489000000000018</v>
      </c>
      <c r="AA39" s="68">
        <v>0.77541000000000015</v>
      </c>
      <c r="AB39" s="68">
        <v>0.78557000000000021</v>
      </c>
      <c r="AC39" s="68">
        <v>0.7953800000000002</v>
      </c>
      <c r="AD39" s="68">
        <v>0.80486000000000013</v>
      </c>
      <c r="AE39" s="69">
        <v>0.81406000000000012</v>
      </c>
      <c r="AF39" s="68">
        <v>0.82303000000000015</v>
      </c>
      <c r="AG39" s="68">
        <v>0.83178000000000019</v>
      </c>
      <c r="AH39" s="68">
        <v>0.84029000000000009</v>
      </c>
      <c r="AI39" s="68">
        <v>0.84852000000000027</v>
      </c>
      <c r="AJ39" s="68">
        <v>0.85640000000000027</v>
      </c>
      <c r="AK39" s="68">
        <v>0.86387000000000014</v>
      </c>
      <c r="AL39" s="68">
        <v>0.87092000000000014</v>
      </c>
      <c r="AM39" s="68">
        <v>0.8775900000000002</v>
      </c>
      <c r="AN39" s="68">
        <v>0.8839300000000001</v>
      </c>
      <c r="AO39" s="68">
        <v>0.89002000000000014</v>
      </c>
      <c r="AP39" s="68">
        <v>0.89596000000000031</v>
      </c>
      <c r="AQ39" s="68">
        <v>0.90188000000000013</v>
      </c>
      <c r="AR39" s="68">
        <v>0.9078900000000002</v>
      </c>
      <c r="AS39" s="68">
        <v>0.91418000000000021</v>
      </c>
      <c r="AT39" s="68">
        <v>0.92093000000000014</v>
      </c>
      <c r="AU39" s="68">
        <v>0.92834000000000017</v>
      </c>
      <c r="AV39" s="68">
        <v>0.93652000000000024</v>
      </c>
      <c r="AW39" s="68">
        <v>0.94540000000000024</v>
      </c>
      <c r="AX39" s="68">
        <v>0.9546800000000002</v>
      </c>
      <c r="AY39" s="68">
        <v>0.96367000000000025</v>
      </c>
      <c r="AZ39" s="68">
        <v>0.97087000000000023</v>
      </c>
      <c r="BA39" s="68">
        <v>1.0000000000000002</v>
      </c>
      <c r="BB39" s="71"/>
      <c r="BC39" s="71"/>
      <c r="BD39" s="71"/>
      <c r="BE39" s="71"/>
      <c r="BF39" s="70">
        <v>0.46078999999999998</v>
      </c>
      <c r="BG39" s="70">
        <v>0.47149000000000002</v>
      </c>
      <c r="BH39" s="70">
        <v>0.48232999999999998</v>
      </c>
      <c r="BI39" s="70">
        <v>0.49332999999999999</v>
      </c>
      <c r="BJ39" s="70">
        <v>0.50448999999999999</v>
      </c>
      <c r="BK39" s="70">
        <v>0.51585000000000003</v>
      </c>
      <c r="BL39" s="70">
        <v>0.52742999999999995</v>
      </c>
      <c r="BM39" s="70">
        <v>0.53924000000000005</v>
      </c>
      <c r="BN39" s="70">
        <v>0.55128999999999995</v>
      </c>
      <c r="BO39" s="70">
        <v>0.56355</v>
      </c>
      <c r="BP39" s="70">
        <v>0.57599</v>
      </c>
      <c r="BQ39" s="70">
        <v>0.58853999999999995</v>
      </c>
      <c r="BR39" s="70">
        <v>0.60116000000000003</v>
      </c>
      <c r="BS39" s="70">
        <v>0.61382000000000003</v>
      </c>
      <c r="BT39" s="70">
        <v>0.62653000000000003</v>
      </c>
      <c r="BU39" s="70">
        <v>0.63929999999999998</v>
      </c>
      <c r="BV39" s="70">
        <v>0.65217000000000003</v>
      </c>
      <c r="BW39" s="70">
        <v>0.66517000000000004</v>
      </c>
      <c r="BX39" s="70">
        <v>0.67830000000000001</v>
      </c>
      <c r="BY39" s="70">
        <v>0.6915</v>
      </c>
      <c r="BZ39" s="70">
        <v>0.70470999999999995</v>
      </c>
      <c r="CA39" s="70">
        <v>0.71782000000000001</v>
      </c>
      <c r="CB39" s="70">
        <v>0.73073999999999995</v>
      </c>
      <c r="CC39" s="70">
        <v>0.74341000000000002</v>
      </c>
      <c r="CD39" s="70">
        <v>0.75580999999999998</v>
      </c>
      <c r="CE39" s="70">
        <v>0.76793999999999996</v>
      </c>
      <c r="CF39" s="70">
        <v>0.77981</v>
      </c>
      <c r="CG39" s="70">
        <v>0.79146000000000005</v>
      </c>
      <c r="CH39" s="70">
        <v>0.80286999999999997</v>
      </c>
      <c r="CI39" s="70">
        <v>0.81399999999999995</v>
      </c>
      <c r="CJ39" s="70">
        <v>0.82477999999999996</v>
      </c>
      <c r="CK39" s="70">
        <v>0.83513999999999999</v>
      </c>
      <c r="CL39" s="70">
        <v>0.84502999999999995</v>
      </c>
      <c r="CM39" s="70">
        <v>0.85441999999999996</v>
      </c>
      <c r="CN39" s="70">
        <v>0.86334</v>
      </c>
      <c r="CO39" s="70">
        <v>0.87182999999999999</v>
      </c>
      <c r="CP39" s="70">
        <v>0.87995999999999996</v>
      </c>
      <c r="CQ39" s="70">
        <v>0.88780000000000003</v>
      </c>
      <c r="CR39" s="70">
        <v>0.89546000000000003</v>
      </c>
      <c r="CS39" s="70">
        <v>0.90303999999999995</v>
      </c>
      <c r="CT39" s="70">
        <v>0.91069</v>
      </c>
      <c r="CU39" s="70">
        <v>0.91857</v>
      </c>
      <c r="CV39" s="70">
        <v>0.92686999999999997</v>
      </c>
      <c r="CW39" s="70">
        <v>0.93569000000000002</v>
      </c>
      <c r="CX39" s="70">
        <v>0.94499999999999995</v>
      </c>
      <c r="CY39" s="70">
        <v>0.95452999999999999</v>
      </c>
      <c r="CZ39" s="70">
        <v>0.96362999999999999</v>
      </c>
      <c r="DA39" s="70">
        <v>0.97087000000000001</v>
      </c>
      <c r="DB39" s="70">
        <v>1</v>
      </c>
      <c r="DC39" s="70"/>
      <c r="DD39" s="70"/>
      <c r="DE39" s="70"/>
    </row>
    <row r="40" spans="1:109" ht="21" x14ac:dyDescent="0.4">
      <c r="A40" s="66"/>
      <c r="B40" s="66"/>
      <c r="C40" s="66"/>
      <c r="D40" s="61">
        <v>40</v>
      </c>
      <c r="E40" s="67">
        <v>0.52993000000000023</v>
      </c>
      <c r="F40" s="67">
        <v>0.54165000000000008</v>
      </c>
      <c r="G40" s="67">
        <v>0.55343000000000009</v>
      </c>
      <c r="H40" s="67">
        <v>0.5652600000000001</v>
      </c>
      <c r="I40" s="67">
        <v>0.57716000000000012</v>
      </c>
      <c r="J40" s="67">
        <v>0.5891200000000002</v>
      </c>
      <c r="K40" s="67">
        <v>0.60114000000000023</v>
      </c>
      <c r="L40" s="67">
        <v>0.61320000000000008</v>
      </c>
      <c r="M40" s="67">
        <v>0.62531000000000025</v>
      </c>
      <c r="N40" s="67">
        <v>0.63741000000000014</v>
      </c>
      <c r="O40" s="67">
        <v>0.64948000000000006</v>
      </c>
      <c r="P40" s="67">
        <v>0.66148000000000007</v>
      </c>
      <c r="Q40" s="67">
        <v>0.67340000000000022</v>
      </c>
      <c r="R40" s="67">
        <v>0.68522000000000027</v>
      </c>
      <c r="S40" s="67">
        <v>0.69695000000000018</v>
      </c>
      <c r="T40" s="67">
        <v>0.70860000000000034</v>
      </c>
      <c r="U40" s="67">
        <v>0.72016000000000024</v>
      </c>
      <c r="V40" s="67">
        <v>0.73162000000000016</v>
      </c>
      <c r="W40" s="67">
        <v>0.74293000000000031</v>
      </c>
      <c r="X40" s="68">
        <v>0.75405000000000033</v>
      </c>
      <c r="Y40" s="68">
        <v>0.76489000000000018</v>
      </c>
      <c r="Z40" s="68">
        <v>0.77541000000000027</v>
      </c>
      <c r="AA40" s="68">
        <v>0.78557000000000032</v>
      </c>
      <c r="AB40" s="68">
        <v>0.79538000000000031</v>
      </c>
      <c r="AC40" s="68">
        <v>0.80486000000000035</v>
      </c>
      <c r="AD40" s="68">
        <v>0.81406000000000034</v>
      </c>
      <c r="AE40" s="69">
        <v>0.82303000000000037</v>
      </c>
      <c r="AF40" s="68">
        <v>0.8317800000000003</v>
      </c>
      <c r="AG40" s="68">
        <v>0.84029000000000031</v>
      </c>
      <c r="AH40" s="68">
        <v>0.84852000000000027</v>
      </c>
      <c r="AI40" s="68">
        <v>0.85640000000000038</v>
      </c>
      <c r="AJ40" s="68">
        <v>0.86387000000000036</v>
      </c>
      <c r="AK40" s="68">
        <v>0.87092000000000025</v>
      </c>
      <c r="AL40" s="68">
        <v>0.87759000000000031</v>
      </c>
      <c r="AM40" s="68">
        <v>0.88393000000000033</v>
      </c>
      <c r="AN40" s="68">
        <v>0.89002000000000026</v>
      </c>
      <c r="AO40" s="68">
        <v>0.89596000000000031</v>
      </c>
      <c r="AP40" s="68">
        <v>0.90188000000000035</v>
      </c>
      <c r="AQ40" s="68">
        <v>0.90789000000000031</v>
      </c>
      <c r="AR40" s="68">
        <v>0.91418000000000033</v>
      </c>
      <c r="AS40" s="68">
        <v>0.92093000000000025</v>
      </c>
      <c r="AT40" s="68">
        <v>0.92834000000000028</v>
      </c>
      <c r="AU40" s="68">
        <v>0.93652000000000035</v>
      </c>
      <c r="AV40" s="68">
        <v>0.94540000000000035</v>
      </c>
      <c r="AW40" s="68">
        <v>0.95468000000000042</v>
      </c>
      <c r="AX40" s="68">
        <v>0.96367000000000036</v>
      </c>
      <c r="AY40" s="68">
        <v>0.97087000000000045</v>
      </c>
      <c r="AZ40" s="68">
        <v>1.0000000000000004</v>
      </c>
      <c r="BA40" s="71"/>
      <c r="BB40" s="71"/>
      <c r="BC40" s="71"/>
      <c r="BD40" s="71"/>
      <c r="BE40" s="71"/>
      <c r="BF40" s="70">
        <v>0.47149000000000002</v>
      </c>
      <c r="BG40" s="70">
        <v>0.48232999999999998</v>
      </c>
      <c r="BH40" s="70">
        <v>0.49332999999999999</v>
      </c>
      <c r="BI40" s="70">
        <v>0.50448999999999999</v>
      </c>
      <c r="BJ40" s="70">
        <v>0.51585000000000003</v>
      </c>
      <c r="BK40" s="70">
        <v>0.52742999999999995</v>
      </c>
      <c r="BL40" s="70">
        <v>0.53924000000000005</v>
      </c>
      <c r="BM40" s="70">
        <v>0.55128999999999995</v>
      </c>
      <c r="BN40" s="70">
        <v>0.56355</v>
      </c>
      <c r="BO40" s="70">
        <v>0.57599</v>
      </c>
      <c r="BP40" s="70">
        <v>0.58853999999999995</v>
      </c>
      <c r="BQ40" s="70">
        <v>0.60116000000000003</v>
      </c>
      <c r="BR40" s="70">
        <v>0.61382000000000003</v>
      </c>
      <c r="BS40" s="70">
        <v>0.62653000000000003</v>
      </c>
      <c r="BT40" s="70">
        <v>0.63929999999999998</v>
      </c>
      <c r="BU40" s="70">
        <v>0.65217000000000003</v>
      </c>
      <c r="BV40" s="70">
        <v>0.66517000000000004</v>
      </c>
      <c r="BW40" s="70">
        <v>0.67830000000000001</v>
      </c>
      <c r="BX40" s="70">
        <v>0.6915</v>
      </c>
      <c r="BY40" s="70">
        <v>0.70470999999999995</v>
      </c>
      <c r="BZ40" s="70">
        <v>0.71782000000000001</v>
      </c>
      <c r="CA40" s="70">
        <v>0.73073999999999995</v>
      </c>
      <c r="CB40" s="70">
        <v>0.74341000000000002</v>
      </c>
      <c r="CC40" s="70">
        <v>0.75580999999999998</v>
      </c>
      <c r="CD40" s="70">
        <v>0.76793999999999996</v>
      </c>
      <c r="CE40" s="70">
        <v>0.77981</v>
      </c>
      <c r="CF40" s="70">
        <v>0.79146000000000005</v>
      </c>
      <c r="CG40" s="70">
        <v>0.80286999999999997</v>
      </c>
      <c r="CH40" s="70">
        <v>0.81399999999999995</v>
      </c>
      <c r="CI40" s="70">
        <v>0.82477999999999996</v>
      </c>
      <c r="CJ40" s="70">
        <v>0.83513999999999999</v>
      </c>
      <c r="CK40" s="70">
        <v>0.84502999999999995</v>
      </c>
      <c r="CL40" s="70">
        <v>0.85441999999999996</v>
      </c>
      <c r="CM40" s="70">
        <v>0.86334</v>
      </c>
      <c r="CN40" s="70">
        <v>0.87182999999999999</v>
      </c>
      <c r="CO40" s="70">
        <v>0.87995999999999996</v>
      </c>
      <c r="CP40" s="70">
        <v>0.88780000000000003</v>
      </c>
      <c r="CQ40" s="70">
        <v>0.89546000000000003</v>
      </c>
      <c r="CR40" s="70">
        <v>0.90303999999999995</v>
      </c>
      <c r="CS40" s="70">
        <v>0.91069</v>
      </c>
      <c r="CT40" s="70">
        <v>0.91857</v>
      </c>
      <c r="CU40" s="70">
        <v>0.92686999999999997</v>
      </c>
      <c r="CV40" s="70">
        <v>0.93569000000000002</v>
      </c>
      <c r="CW40" s="70">
        <v>0.94499999999999995</v>
      </c>
      <c r="CX40" s="70">
        <v>0.95452999999999999</v>
      </c>
      <c r="CY40" s="70">
        <v>0.96362999999999999</v>
      </c>
      <c r="CZ40" s="70">
        <v>0.97087000000000001</v>
      </c>
      <c r="DA40" s="70">
        <v>1</v>
      </c>
      <c r="DB40" s="70"/>
      <c r="DC40" s="70"/>
      <c r="DD40" s="70"/>
      <c r="DE40" s="70"/>
    </row>
    <row r="41" spans="1:109" ht="21" x14ac:dyDescent="0.4">
      <c r="A41" s="66"/>
      <c r="B41" s="66"/>
      <c r="C41" s="66"/>
      <c r="D41" s="61">
        <v>41</v>
      </c>
      <c r="E41" s="67">
        <v>0.54165000000000008</v>
      </c>
      <c r="F41" s="67">
        <v>0.55343000000000009</v>
      </c>
      <c r="G41" s="67">
        <v>0.5652600000000001</v>
      </c>
      <c r="H41" s="67">
        <v>0.57716000000000012</v>
      </c>
      <c r="I41" s="67">
        <v>0.5891200000000002</v>
      </c>
      <c r="J41" s="67">
        <v>0.60114000000000023</v>
      </c>
      <c r="K41" s="67">
        <v>0.61320000000000008</v>
      </c>
      <c r="L41" s="67">
        <v>0.62531000000000025</v>
      </c>
      <c r="M41" s="67">
        <v>0.63741000000000014</v>
      </c>
      <c r="N41" s="67">
        <v>0.64948000000000006</v>
      </c>
      <c r="O41" s="67">
        <v>0.66148000000000007</v>
      </c>
      <c r="P41" s="67">
        <v>0.67340000000000022</v>
      </c>
      <c r="Q41" s="67">
        <v>0.68522000000000027</v>
      </c>
      <c r="R41" s="67">
        <v>0.69695000000000018</v>
      </c>
      <c r="S41" s="67">
        <v>0.70860000000000034</v>
      </c>
      <c r="T41" s="67">
        <v>0.72016000000000036</v>
      </c>
      <c r="U41" s="67">
        <v>0.73162000000000027</v>
      </c>
      <c r="V41" s="67">
        <v>0.74293000000000031</v>
      </c>
      <c r="W41" s="67">
        <v>0.75405000000000033</v>
      </c>
      <c r="X41" s="68">
        <v>0.7648900000000004</v>
      </c>
      <c r="Y41" s="68">
        <v>0.77541000000000038</v>
      </c>
      <c r="Z41" s="68">
        <v>0.78557000000000043</v>
      </c>
      <c r="AA41" s="68">
        <v>0.79538000000000031</v>
      </c>
      <c r="AB41" s="68">
        <v>0.80486000000000035</v>
      </c>
      <c r="AC41" s="68">
        <v>0.81406000000000034</v>
      </c>
      <c r="AD41" s="68">
        <v>0.82303000000000037</v>
      </c>
      <c r="AE41" s="69">
        <v>0.8317800000000003</v>
      </c>
      <c r="AF41" s="68">
        <v>0.84029000000000043</v>
      </c>
      <c r="AG41" s="68">
        <v>0.84852000000000039</v>
      </c>
      <c r="AH41" s="68">
        <v>0.85640000000000038</v>
      </c>
      <c r="AI41" s="68">
        <v>0.86387000000000036</v>
      </c>
      <c r="AJ41" s="68">
        <v>0.87092000000000036</v>
      </c>
      <c r="AK41" s="68">
        <v>0.87759000000000043</v>
      </c>
      <c r="AL41" s="68">
        <v>0.88393000000000033</v>
      </c>
      <c r="AM41" s="68">
        <v>0.89002000000000037</v>
      </c>
      <c r="AN41" s="68">
        <v>0.89596000000000042</v>
      </c>
      <c r="AO41" s="68">
        <v>0.90188000000000046</v>
      </c>
      <c r="AP41" s="68">
        <v>0.90789000000000042</v>
      </c>
      <c r="AQ41" s="68">
        <v>0.91418000000000044</v>
      </c>
      <c r="AR41" s="68">
        <v>0.92093000000000036</v>
      </c>
      <c r="AS41" s="68">
        <v>0.92834000000000039</v>
      </c>
      <c r="AT41" s="68">
        <v>0.93652000000000035</v>
      </c>
      <c r="AU41" s="68">
        <v>0.94540000000000046</v>
      </c>
      <c r="AV41" s="68">
        <v>0.95468000000000042</v>
      </c>
      <c r="AW41" s="68">
        <v>0.96367000000000047</v>
      </c>
      <c r="AX41" s="68">
        <v>0.97087000000000034</v>
      </c>
      <c r="AY41" s="68">
        <v>1.0000000000000004</v>
      </c>
      <c r="AZ41" s="71"/>
      <c r="BA41" s="71"/>
      <c r="BB41" s="71"/>
      <c r="BC41" s="71"/>
      <c r="BD41" s="71"/>
      <c r="BE41" s="71"/>
      <c r="BF41" s="70">
        <v>0.48232999999999998</v>
      </c>
      <c r="BG41" s="70">
        <v>0.49332999999999999</v>
      </c>
      <c r="BH41" s="70">
        <v>0.50448999999999999</v>
      </c>
      <c r="BI41" s="70">
        <v>0.51585000000000003</v>
      </c>
      <c r="BJ41" s="70">
        <v>0.52742999999999995</v>
      </c>
      <c r="BK41" s="70">
        <v>0.53924000000000005</v>
      </c>
      <c r="BL41" s="70">
        <v>0.55128999999999995</v>
      </c>
      <c r="BM41" s="70">
        <v>0.56355</v>
      </c>
      <c r="BN41" s="70">
        <v>0.57599</v>
      </c>
      <c r="BO41" s="70">
        <v>0.58853999999999995</v>
      </c>
      <c r="BP41" s="70">
        <v>0.60116000000000003</v>
      </c>
      <c r="BQ41" s="70">
        <v>0.61382000000000003</v>
      </c>
      <c r="BR41" s="70">
        <v>0.62653000000000003</v>
      </c>
      <c r="BS41" s="70">
        <v>0.63929999999999998</v>
      </c>
      <c r="BT41" s="70">
        <v>0.65217000000000003</v>
      </c>
      <c r="BU41" s="70">
        <v>0.66517000000000004</v>
      </c>
      <c r="BV41" s="70">
        <v>0.67830000000000001</v>
      </c>
      <c r="BW41" s="70">
        <v>0.6915</v>
      </c>
      <c r="BX41" s="70">
        <v>0.70470999999999995</v>
      </c>
      <c r="BY41" s="70">
        <v>0.71782000000000001</v>
      </c>
      <c r="BZ41" s="70">
        <v>0.73073999999999995</v>
      </c>
      <c r="CA41" s="70">
        <v>0.74341000000000002</v>
      </c>
      <c r="CB41" s="70">
        <v>0.75580999999999998</v>
      </c>
      <c r="CC41" s="70">
        <v>0.76793999999999996</v>
      </c>
      <c r="CD41" s="70">
        <v>0.77981</v>
      </c>
      <c r="CE41" s="70">
        <v>0.79146000000000005</v>
      </c>
      <c r="CF41" s="70">
        <v>0.80286999999999997</v>
      </c>
      <c r="CG41" s="70">
        <v>0.81399999999999995</v>
      </c>
      <c r="CH41" s="70">
        <v>0.82477999999999996</v>
      </c>
      <c r="CI41" s="70">
        <v>0.83513999999999999</v>
      </c>
      <c r="CJ41" s="70">
        <v>0.84502999999999995</v>
      </c>
      <c r="CK41" s="70">
        <v>0.85441999999999996</v>
      </c>
      <c r="CL41" s="70">
        <v>0.86334</v>
      </c>
      <c r="CM41" s="70">
        <v>0.87182999999999999</v>
      </c>
      <c r="CN41" s="70">
        <v>0.87995999999999996</v>
      </c>
      <c r="CO41" s="70">
        <v>0.88780000000000003</v>
      </c>
      <c r="CP41" s="70">
        <v>0.89546000000000003</v>
      </c>
      <c r="CQ41" s="70">
        <v>0.90303999999999995</v>
      </c>
      <c r="CR41" s="70">
        <v>0.91069</v>
      </c>
      <c r="CS41" s="70">
        <v>0.91857</v>
      </c>
      <c r="CT41" s="70">
        <v>0.92686999999999997</v>
      </c>
      <c r="CU41" s="70">
        <v>0.93569000000000002</v>
      </c>
      <c r="CV41" s="70">
        <v>0.94499999999999995</v>
      </c>
      <c r="CW41" s="70">
        <v>0.95452999999999999</v>
      </c>
      <c r="CX41" s="70">
        <v>0.96362999999999999</v>
      </c>
      <c r="CY41" s="70">
        <v>0.97087000000000001</v>
      </c>
      <c r="CZ41" s="70">
        <v>1</v>
      </c>
      <c r="DA41" s="70"/>
      <c r="DB41" s="70"/>
      <c r="DC41" s="70"/>
      <c r="DD41" s="70"/>
      <c r="DE41" s="70"/>
    </row>
    <row r="42" spans="1:109" ht="21" x14ac:dyDescent="0.4">
      <c r="A42" s="66"/>
      <c r="B42" s="66"/>
      <c r="C42" s="66"/>
      <c r="D42" s="61">
        <v>42</v>
      </c>
      <c r="E42" s="67">
        <v>0.55343000000000009</v>
      </c>
      <c r="F42" s="67">
        <v>0.5652600000000001</v>
      </c>
      <c r="G42" s="67">
        <v>0.57716000000000012</v>
      </c>
      <c r="H42" s="67">
        <v>0.5891200000000002</v>
      </c>
      <c r="I42" s="67">
        <v>0.60114000000000023</v>
      </c>
      <c r="J42" s="67">
        <v>0.61320000000000008</v>
      </c>
      <c r="K42" s="67">
        <v>0.62531000000000025</v>
      </c>
      <c r="L42" s="67">
        <v>0.63741000000000014</v>
      </c>
      <c r="M42" s="67">
        <v>0.64948000000000006</v>
      </c>
      <c r="N42" s="67">
        <v>0.66148000000000007</v>
      </c>
      <c r="O42" s="67">
        <v>0.67340000000000022</v>
      </c>
      <c r="P42" s="67">
        <v>0.68522000000000027</v>
      </c>
      <c r="Q42" s="67">
        <v>0.69695000000000018</v>
      </c>
      <c r="R42" s="67">
        <v>0.70860000000000034</v>
      </c>
      <c r="S42" s="67">
        <v>0.72016000000000036</v>
      </c>
      <c r="T42" s="67">
        <v>0.73162000000000027</v>
      </c>
      <c r="U42" s="67">
        <v>0.74293000000000031</v>
      </c>
      <c r="V42" s="67">
        <v>0.75405000000000022</v>
      </c>
      <c r="W42" s="67">
        <v>0.76489000000000018</v>
      </c>
      <c r="X42" s="68">
        <v>0.77541000000000027</v>
      </c>
      <c r="Y42" s="68">
        <v>0.78557000000000021</v>
      </c>
      <c r="Z42" s="68">
        <v>0.79538000000000031</v>
      </c>
      <c r="AA42" s="68">
        <v>0.80486000000000024</v>
      </c>
      <c r="AB42" s="68">
        <v>0.81406000000000023</v>
      </c>
      <c r="AC42" s="68">
        <v>0.82303000000000015</v>
      </c>
      <c r="AD42" s="68">
        <v>0.83178000000000019</v>
      </c>
      <c r="AE42" s="69">
        <v>0.84029000000000031</v>
      </c>
      <c r="AF42" s="68">
        <v>0.84852000000000027</v>
      </c>
      <c r="AG42" s="68">
        <v>0.85640000000000027</v>
      </c>
      <c r="AH42" s="68">
        <v>0.86387000000000036</v>
      </c>
      <c r="AI42" s="68">
        <v>0.87092000000000025</v>
      </c>
      <c r="AJ42" s="68">
        <v>0.87759000000000031</v>
      </c>
      <c r="AK42" s="68">
        <v>0.88393000000000022</v>
      </c>
      <c r="AL42" s="68">
        <v>0.89002000000000026</v>
      </c>
      <c r="AM42" s="68">
        <v>0.89596000000000031</v>
      </c>
      <c r="AN42" s="68">
        <v>0.90188000000000024</v>
      </c>
      <c r="AO42" s="68">
        <v>0.90789000000000031</v>
      </c>
      <c r="AP42" s="68">
        <v>0.91418000000000033</v>
      </c>
      <c r="AQ42" s="68">
        <v>0.92093000000000025</v>
      </c>
      <c r="AR42" s="68">
        <v>0.92834000000000028</v>
      </c>
      <c r="AS42" s="68">
        <v>0.93652000000000024</v>
      </c>
      <c r="AT42" s="68">
        <v>0.94540000000000035</v>
      </c>
      <c r="AU42" s="68">
        <v>0.95468000000000031</v>
      </c>
      <c r="AV42" s="68">
        <v>0.96367000000000025</v>
      </c>
      <c r="AW42" s="68">
        <v>0.97087000000000034</v>
      </c>
      <c r="AX42" s="68">
        <v>1.0000000000000004</v>
      </c>
      <c r="AY42" s="71"/>
      <c r="AZ42" s="71"/>
      <c r="BA42" s="71"/>
      <c r="BB42" s="71"/>
      <c r="BC42" s="71"/>
      <c r="BD42" s="71"/>
      <c r="BE42" s="71"/>
      <c r="BF42" s="70">
        <v>0.49332999999999999</v>
      </c>
      <c r="BG42" s="70">
        <v>0.50448999999999999</v>
      </c>
      <c r="BH42" s="70">
        <v>0.51585000000000003</v>
      </c>
      <c r="BI42" s="70">
        <v>0.52742999999999995</v>
      </c>
      <c r="BJ42" s="70">
        <v>0.53924000000000005</v>
      </c>
      <c r="BK42" s="70">
        <v>0.55128999999999995</v>
      </c>
      <c r="BL42" s="70">
        <v>0.56355</v>
      </c>
      <c r="BM42" s="70">
        <v>0.57599</v>
      </c>
      <c r="BN42" s="70">
        <v>0.58853999999999995</v>
      </c>
      <c r="BO42" s="70">
        <v>0.60116000000000003</v>
      </c>
      <c r="BP42" s="70">
        <v>0.61382000000000003</v>
      </c>
      <c r="BQ42" s="70">
        <v>0.62653000000000003</v>
      </c>
      <c r="BR42" s="70">
        <v>0.63929999999999998</v>
      </c>
      <c r="BS42" s="70">
        <v>0.65217000000000003</v>
      </c>
      <c r="BT42" s="70">
        <v>0.66517000000000004</v>
      </c>
      <c r="BU42" s="70">
        <v>0.67830000000000001</v>
      </c>
      <c r="BV42" s="70">
        <v>0.6915</v>
      </c>
      <c r="BW42" s="70">
        <v>0.70470999999999995</v>
      </c>
      <c r="BX42" s="70">
        <v>0.71782000000000001</v>
      </c>
      <c r="BY42" s="70">
        <v>0.73073999999999995</v>
      </c>
      <c r="BZ42" s="70">
        <v>0.74341000000000002</v>
      </c>
      <c r="CA42" s="70">
        <v>0.75580999999999998</v>
      </c>
      <c r="CB42" s="70">
        <v>0.76793999999999996</v>
      </c>
      <c r="CC42" s="70">
        <v>0.77981</v>
      </c>
      <c r="CD42" s="70">
        <v>0.79146000000000005</v>
      </c>
      <c r="CE42" s="70">
        <v>0.80286999999999997</v>
      </c>
      <c r="CF42" s="70">
        <v>0.81399999999999995</v>
      </c>
      <c r="CG42" s="70">
        <v>0.82477999999999996</v>
      </c>
      <c r="CH42" s="70">
        <v>0.83513999999999999</v>
      </c>
      <c r="CI42" s="70">
        <v>0.84502999999999995</v>
      </c>
      <c r="CJ42" s="70">
        <v>0.85441999999999996</v>
      </c>
      <c r="CK42" s="70">
        <v>0.86334</v>
      </c>
      <c r="CL42" s="70">
        <v>0.87182999999999999</v>
      </c>
      <c r="CM42" s="70">
        <v>0.87995999999999996</v>
      </c>
      <c r="CN42" s="70">
        <v>0.88780000000000003</v>
      </c>
      <c r="CO42" s="70">
        <v>0.89546000000000003</v>
      </c>
      <c r="CP42" s="70">
        <v>0.90303999999999995</v>
      </c>
      <c r="CQ42" s="70">
        <v>0.91069</v>
      </c>
      <c r="CR42" s="70">
        <v>0.91857</v>
      </c>
      <c r="CS42" s="70">
        <v>0.92686999999999997</v>
      </c>
      <c r="CT42" s="70">
        <v>0.93569000000000002</v>
      </c>
      <c r="CU42" s="70">
        <v>0.94499999999999995</v>
      </c>
      <c r="CV42" s="70">
        <v>0.95452999999999999</v>
      </c>
      <c r="CW42" s="70">
        <v>0.96362999999999999</v>
      </c>
      <c r="CX42" s="70">
        <v>0.97087000000000001</v>
      </c>
      <c r="CY42" s="70">
        <v>1</v>
      </c>
      <c r="CZ42" s="70"/>
      <c r="DA42" s="70"/>
      <c r="DB42" s="70"/>
      <c r="DC42" s="70"/>
      <c r="DD42" s="70"/>
      <c r="DE42" s="70"/>
    </row>
    <row r="43" spans="1:109" ht="21" x14ac:dyDescent="0.4">
      <c r="A43" s="66"/>
      <c r="B43" s="66"/>
      <c r="C43" s="66"/>
      <c r="D43" s="61">
        <v>43</v>
      </c>
      <c r="E43" s="67">
        <v>0.5652600000000001</v>
      </c>
      <c r="F43" s="67">
        <v>0.57716000000000012</v>
      </c>
      <c r="G43" s="67">
        <v>0.5891200000000002</v>
      </c>
      <c r="H43" s="67">
        <v>0.60114000000000023</v>
      </c>
      <c r="I43" s="67">
        <v>0.61320000000000008</v>
      </c>
      <c r="J43" s="67">
        <v>0.62531000000000025</v>
      </c>
      <c r="K43" s="67">
        <v>0.63741000000000014</v>
      </c>
      <c r="L43" s="67">
        <v>0.64948000000000006</v>
      </c>
      <c r="M43" s="67">
        <v>0.66148000000000007</v>
      </c>
      <c r="N43" s="67">
        <v>0.67340000000000022</v>
      </c>
      <c r="O43" s="67">
        <v>0.68522000000000027</v>
      </c>
      <c r="P43" s="67">
        <v>0.69695000000000018</v>
      </c>
      <c r="Q43" s="67">
        <v>0.70860000000000034</v>
      </c>
      <c r="R43" s="67">
        <v>0.72016000000000036</v>
      </c>
      <c r="S43" s="67">
        <v>0.73162000000000027</v>
      </c>
      <c r="T43" s="67">
        <v>0.7429300000000002</v>
      </c>
      <c r="U43" s="67">
        <v>0.75405000000000022</v>
      </c>
      <c r="V43" s="67">
        <v>0.76489000000000018</v>
      </c>
      <c r="W43" s="67">
        <v>0.77541000000000015</v>
      </c>
      <c r="X43" s="68">
        <v>0.7855700000000001</v>
      </c>
      <c r="Y43" s="68">
        <v>0.79538000000000009</v>
      </c>
      <c r="Z43" s="68">
        <v>0.80486000000000013</v>
      </c>
      <c r="AA43" s="68">
        <v>0.81406000000000023</v>
      </c>
      <c r="AB43" s="68">
        <v>0.82303000000000015</v>
      </c>
      <c r="AC43" s="68">
        <v>0.83178000000000019</v>
      </c>
      <c r="AD43" s="68">
        <v>0.8402900000000002</v>
      </c>
      <c r="AE43" s="69">
        <v>0.84852000000000016</v>
      </c>
      <c r="AF43" s="68">
        <v>0.85640000000000016</v>
      </c>
      <c r="AG43" s="68">
        <v>0.86387000000000025</v>
      </c>
      <c r="AH43" s="68">
        <v>0.87092000000000014</v>
      </c>
      <c r="AI43" s="68">
        <v>0.8775900000000002</v>
      </c>
      <c r="AJ43" s="68">
        <v>0.88393000000000022</v>
      </c>
      <c r="AK43" s="68">
        <v>0.89002000000000026</v>
      </c>
      <c r="AL43" s="68">
        <v>0.8959600000000002</v>
      </c>
      <c r="AM43" s="68">
        <v>0.90188000000000024</v>
      </c>
      <c r="AN43" s="68">
        <v>0.9078900000000002</v>
      </c>
      <c r="AO43" s="68">
        <v>0.91418000000000021</v>
      </c>
      <c r="AP43" s="68">
        <v>0.92093000000000025</v>
      </c>
      <c r="AQ43" s="68">
        <v>0.92834000000000017</v>
      </c>
      <c r="AR43" s="68">
        <v>0.93652000000000024</v>
      </c>
      <c r="AS43" s="68">
        <v>0.94540000000000024</v>
      </c>
      <c r="AT43" s="68">
        <v>0.9546800000000002</v>
      </c>
      <c r="AU43" s="68">
        <v>0.96367000000000025</v>
      </c>
      <c r="AV43" s="68">
        <v>0.97087000000000012</v>
      </c>
      <c r="AW43" s="68">
        <v>1.0000000000000002</v>
      </c>
      <c r="AX43" s="71"/>
      <c r="AY43" s="71"/>
      <c r="AZ43" s="71"/>
      <c r="BA43" s="71"/>
      <c r="BB43" s="71"/>
      <c r="BC43" s="71"/>
      <c r="BD43" s="71"/>
      <c r="BE43" s="71"/>
      <c r="BF43" s="70">
        <v>0.50448999999999999</v>
      </c>
      <c r="BG43" s="70">
        <v>0.51585000000000003</v>
      </c>
      <c r="BH43" s="70">
        <v>0.52742999999999995</v>
      </c>
      <c r="BI43" s="70">
        <v>0.53924000000000005</v>
      </c>
      <c r="BJ43" s="70">
        <v>0.55128999999999995</v>
      </c>
      <c r="BK43" s="70">
        <v>0.56355</v>
      </c>
      <c r="BL43" s="70">
        <v>0.57599</v>
      </c>
      <c r="BM43" s="70">
        <v>0.58853999999999995</v>
      </c>
      <c r="BN43" s="70">
        <v>0.60116000000000003</v>
      </c>
      <c r="BO43" s="70">
        <v>0.61382000000000003</v>
      </c>
      <c r="BP43" s="70">
        <v>0.62653000000000003</v>
      </c>
      <c r="BQ43" s="70">
        <v>0.63929999999999998</v>
      </c>
      <c r="BR43" s="70">
        <v>0.65217000000000003</v>
      </c>
      <c r="BS43" s="70">
        <v>0.66517000000000004</v>
      </c>
      <c r="BT43" s="70">
        <v>0.67830000000000001</v>
      </c>
      <c r="BU43" s="70">
        <v>0.6915</v>
      </c>
      <c r="BV43" s="70">
        <v>0.70470999999999995</v>
      </c>
      <c r="BW43" s="70">
        <v>0.71782000000000001</v>
      </c>
      <c r="BX43" s="70">
        <v>0.73073999999999995</v>
      </c>
      <c r="BY43" s="70">
        <v>0.74341000000000002</v>
      </c>
      <c r="BZ43" s="70">
        <v>0.75580999999999998</v>
      </c>
      <c r="CA43" s="70">
        <v>0.76793999999999996</v>
      </c>
      <c r="CB43" s="70">
        <v>0.77981</v>
      </c>
      <c r="CC43" s="70">
        <v>0.79146000000000005</v>
      </c>
      <c r="CD43" s="70">
        <v>0.80286999999999997</v>
      </c>
      <c r="CE43" s="70">
        <v>0.81399999999999995</v>
      </c>
      <c r="CF43" s="70">
        <v>0.82477999999999996</v>
      </c>
      <c r="CG43" s="70">
        <v>0.83513999999999999</v>
      </c>
      <c r="CH43" s="70">
        <v>0.84502999999999995</v>
      </c>
      <c r="CI43" s="70">
        <v>0.85441999999999996</v>
      </c>
      <c r="CJ43" s="70">
        <v>0.86334</v>
      </c>
      <c r="CK43" s="70">
        <v>0.87182999999999999</v>
      </c>
      <c r="CL43" s="70">
        <v>0.87995999999999996</v>
      </c>
      <c r="CM43" s="70">
        <v>0.88780000000000003</v>
      </c>
      <c r="CN43" s="70">
        <v>0.89546000000000003</v>
      </c>
      <c r="CO43" s="70">
        <v>0.90303999999999995</v>
      </c>
      <c r="CP43" s="70">
        <v>0.91069</v>
      </c>
      <c r="CQ43" s="70">
        <v>0.91857</v>
      </c>
      <c r="CR43" s="70">
        <v>0.92686999999999997</v>
      </c>
      <c r="CS43" s="70">
        <v>0.93569000000000002</v>
      </c>
      <c r="CT43" s="70">
        <v>0.94499999999999995</v>
      </c>
      <c r="CU43" s="70">
        <v>0.95452999999999999</v>
      </c>
      <c r="CV43" s="70">
        <v>0.96362999999999999</v>
      </c>
      <c r="CW43" s="70">
        <v>0.97087000000000001</v>
      </c>
      <c r="CX43" s="70">
        <v>1</v>
      </c>
      <c r="CY43" s="70"/>
      <c r="CZ43" s="70"/>
      <c r="DA43" s="70"/>
      <c r="DB43" s="70"/>
      <c r="DC43" s="70"/>
      <c r="DD43" s="70"/>
      <c r="DE43" s="70"/>
    </row>
    <row r="44" spans="1:109" ht="21" x14ac:dyDescent="0.4">
      <c r="A44" s="66"/>
      <c r="B44" s="66"/>
      <c r="C44" s="66"/>
      <c r="D44" s="61">
        <v>44</v>
      </c>
      <c r="E44" s="67">
        <v>0.57716000000000012</v>
      </c>
      <c r="F44" s="67">
        <v>0.5891200000000002</v>
      </c>
      <c r="G44" s="67">
        <v>0.60114000000000023</v>
      </c>
      <c r="H44" s="67">
        <v>0.61320000000000008</v>
      </c>
      <c r="I44" s="67">
        <v>0.62531000000000025</v>
      </c>
      <c r="J44" s="67">
        <v>0.63741000000000014</v>
      </c>
      <c r="K44" s="67">
        <v>0.64948000000000006</v>
      </c>
      <c r="L44" s="67">
        <v>0.66148000000000007</v>
      </c>
      <c r="M44" s="67">
        <v>0.67340000000000022</v>
      </c>
      <c r="N44" s="67">
        <v>0.68522000000000027</v>
      </c>
      <c r="O44" s="67">
        <v>0.69695000000000018</v>
      </c>
      <c r="P44" s="67">
        <v>0.70860000000000034</v>
      </c>
      <c r="Q44" s="67">
        <v>0.72016000000000036</v>
      </c>
      <c r="R44" s="67">
        <v>0.73162000000000027</v>
      </c>
      <c r="S44" s="67">
        <v>0.7429300000000002</v>
      </c>
      <c r="T44" s="67">
        <v>0.75405000000000033</v>
      </c>
      <c r="U44" s="67">
        <v>0.76489000000000018</v>
      </c>
      <c r="V44" s="67">
        <v>0.77541000000000027</v>
      </c>
      <c r="W44" s="67">
        <v>0.78557000000000021</v>
      </c>
      <c r="X44" s="68">
        <v>0.79538000000000031</v>
      </c>
      <c r="Y44" s="68">
        <v>0.80486000000000024</v>
      </c>
      <c r="Z44" s="68">
        <v>0.81406000000000023</v>
      </c>
      <c r="AA44" s="68">
        <v>0.82303000000000026</v>
      </c>
      <c r="AB44" s="68">
        <v>0.8317800000000003</v>
      </c>
      <c r="AC44" s="68">
        <v>0.84029000000000031</v>
      </c>
      <c r="AD44" s="68">
        <v>0.84852000000000027</v>
      </c>
      <c r="AE44" s="69">
        <v>0.85640000000000027</v>
      </c>
      <c r="AF44" s="68">
        <v>0.86387000000000025</v>
      </c>
      <c r="AG44" s="68">
        <v>0.87092000000000025</v>
      </c>
      <c r="AH44" s="68">
        <v>0.87759000000000031</v>
      </c>
      <c r="AI44" s="68">
        <v>0.88393000000000022</v>
      </c>
      <c r="AJ44" s="68">
        <v>0.89002000000000026</v>
      </c>
      <c r="AK44" s="68">
        <v>0.89596000000000031</v>
      </c>
      <c r="AL44" s="68">
        <v>0.90188000000000035</v>
      </c>
      <c r="AM44" s="68">
        <v>0.9078900000000002</v>
      </c>
      <c r="AN44" s="68">
        <v>0.91418000000000033</v>
      </c>
      <c r="AO44" s="68">
        <v>0.92093000000000036</v>
      </c>
      <c r="AP44" s="68">
        <v>0.92834000000000028</v>
      </c>
      <c r="AQ44" s="68">
        <v>0.93652000000000035</v>
      </c>
      <c r="AR44" s="68">
        <v>0.94540000000000024</v>
      </c>
      <c r="AS44" s="68">
        <v>0.95468000000000031</v>
      </c>
      <c r="AT44" s="68">
        <v>0.96367000000000036</v>
      </c>
      <c r="AU44" s="68">
        <v>0.97087000000000034</v>
      </c>
      <c r="AV44" s="68">
        <v>1.0000000000000004</v>
      </c>
      <c r="AW44" s="71"/>
      <c r="AX44" s="71"/>
      <c r="AY44" s="71"/>
      <c r="AZ44" s="71"/>
      <c r="BA44" s="71"/>
      <c r="BB44" s="71"/>
      <c r="BC44" s="71"/>
      <c r="BD44" s="71"/>
      <c r="BE44" s="71"/>
      <c r="BF44" s="70">
        <v>0.51585000000000003</v>
      </c>
      <c r="BG44" s="70">
        <v>0.52742999999999995</v>
      </c>
      <c r="BH44" s="70">
        <v>0.53924000000000005</v>
      </c>
      <c r="BI44" s="70">
        <v>0.55128999999999995</v>
      </c>
      <c r="BJ44" s="70">
        <v>0.56355</v>
      </c>
      <c r="BK44" s="70">
        <v>0.57599</v>
      </c>
      <c r="BL44" s="70">
        <v>0.58853999999999995</v>
      </c>
      <c r="BM44" s="70">
        <v>0.60116000000000003</v>
      </c>
      <c r="BN44" s="70">
        <v>0.61382000000000003</v>
      </c>
      <c r="BO44" s="70">
        <v>0.62653000000000003</v>
      </c>
      <c r="BP44" s="70">
        <v>0.63929999999999998</v>
      </c>
      <c r="BQ44" s="70">
        <v>0.65217000000000003</v>
      </c>
      <c r="BR44" s="70">
        <v>0.66517000000000004</v>
      </c>
      <c r="BS44" s="70">
        <v>0.67830000000000001</v>
      </c>
      <c r="BT44" s="70">
        <v>0.6915</v>
      </c>
      <c r="BU44" s="70">
        <v>0.70470999999999995</v>
      </c>
      <c r="BV44" s="70">
        <v>0.71782000000000001</v>
      </c>
      <c r="BW44" s="70">
        <v>0.73073999999999995</v>
      </c>
      <c r="BX44" s="70">
        <v>0.74341000000000002</v>
      </c>
      <c r="BY44" s="70">
        <v>0.75580999999999998</v>
      </c>
      <c r="BZ44" s="70">
        <v>0.76793999999999996</v>
      </c>
      <c r="CA44" s="70">
        <v>0.77981</v>
      </c>
      <c r="CB44" s="70">
        <v>0.79146000000000005</v>
      </c>
      <c r="CC44" s="70">
        <v>0.80286999999999997</v>
      </c>
      <c r="CD44" s="70">
        <v>0.81399999999999995</v>
      </c>
      <c r="CE44" s="70">
        <v>0.82477999999999996</v>
      </c>
      <c r="CF44" s="70">
        <v>0.83513999999999999</v>
      </c>
      <c r="CG44" s="70">
        <v>0.84502999999999995</v>
      </c>
      <c r="CH44" s="70">
        <v>0.85441999999999996</v>
      </c>
      <c r="CI44" s="70">
        <v>0.86334</v>
      </c>
      <c r="CJ44" s="70">
        <v>0.87182999999999999</v>
      </c>
      <c r="CK44" s="70">
        <v>0.87995999999999996</v>
      </c>
      <c r="CL44" s="70">
        <v>0.88780000000000003</v>
      </c>
      <c r="CM44" s="70">
        <v>0.89546000000000003</v>
      </c>
      <c r="CN44" s="70">
        <v>0.90303999999999995</v>
      </c>
      <c r="CO44" s="70">
        <v>0.91069</v>
      </c>
      <c r="CP44" s="70">
        <v>0.91857</v>
      </c>
      <c r="CQ44" s="70">
        <v>0.92686999999999997</v>
      </c>
      <c r="CR44" s="70">
        <v>0.93569000000000002</v>
      </c>
      <c r="CS44" s="70">
        <v>0.94499999999999995</v>
      </c>
      <c r="CT44" s="70">
        <v>0.95452999999999999</v>
      </c>
      <c r="CU44" s="70">
        <v>0.96362999999999999</v>
      </c>
      <c r="CV44" s="70">
        <v>0.97087000000000001</v>
      </c>
      <c r="CW44" s="70">
        <v>1</v>
      </c>
      <c r="CX44" s="70"/>
      <c r="CY44" s="70"/>
      <c r="CZ44" s="70"/>
      <c r="DA44" s="70"/>
      <c r="DB44" s="70"/>
      <c r="DC44" s="70"/>
      <c r="DD44" s="70"/>
      <c r="DE44" s="70"/>
    </row>
    <row r="45" spans="1:109" ht="21" x14ac:dyDescent="0.4">
      <c r="A45" s="66"/>
      <c r="B45" s="66"/>
      <c r="C45" s="66"/>
      <c r="D45" s="61">
        <v>45</v>
      </c>
      <c r="E45" s="67">
        <v>0.5891200000000002</v>
      </c>
      <c r="F45" s="67">
        <v>0.60114000000000023</v>
      </c>
      <c r="G45" s="67">
        <v>0.61320000000000008</v>
      </c>
      <c r="H45" s="67">
        <v>0.62531000000000025</v>
      </c>
      <c r="I45" s="67">
        <v>0.63741000000000014</v>
      </c>
      <c r="J45" s="67">
        <v>0.64948000000000006</v>
      </c>
      <c r="K45" s="67">
        <v>0.66148000000000007</v>
      </c>
      <c r="L45" s="67">
        <v>0.67340000000000022</v>
      </c>
      <c r="M45" s="67">
        <v>0.68522000000000027</v>
      </c>
      <c r="N45" s="67">
        <v>0.69695000000000018</v>
      </c>
      <c r="O45" s="67">
        <v>0.70860000000000034</v>
      </c>
      <c r="P45" s="67">
        <v>0.72016000000000036</v>
      </c>
      <c r="Q45" s="67">
        <v>0.73162000000000027</v>
      </c>
      <c r="R45" s="67">
        <v>0.7429300000000002</v>
      </c>
      <c r="S45" s="67">
        <v>0.75405000000000033</v>
      </c>
      <c r="T45" s="67">
        <v>0.7648900000000004</v>
      </c>
      <c r="U45" s="67">
        <v>0.77541000000000038</v>
      </c>
      <c r="V45" s="67">
        <v>0.78557000000000032</v>
      </c>
      <c r="W45" s="67">
        <v>0.79538000000000042</v>
      </c>
      <c r="X45" s="68">
        <v>0.80486000000000035</v>
      </c>
      <c r="Y45" s="68">
        <v>0.81406000000000034</v>
      </c>
      <c r="Z45" s="68">
        <v>0.82303000000000037</v>
      </c>
      <c r="AA45" s="68">
        <v>0.83178000000000041</v>
      </c>
      <c r="AB45" s="68">
        <v>0.84029000000000043</v>
      </c>
      <c r="AC45" s="68">
        <v>0.84852000000000039</v>
      </c>
      <c r="AD45" s="68">
        <v>0.85640000000000027</v>
      </c>
      <c r="AE45" s="69">
        <v>0.86387000000000047</v>
      </c>
      <c r="AF45" s="68">
        <v>0.87092000000000047</v>
      </c>
      <c r="AG45" s="68">
        <v>0.87759000000000043</v>
      </c>
      <c r="AH45" s="68">
        <v>0.88393000000000044</v>
      </c>
      <c r="AI45" s="68">
        <v>0.89002000000000037</v>
      </c>
      <c r="AJ45" s="68">
        <v>0.89596000000000042</v>
      </c>
      <c r="AK45" s="68">
        <v>0.90188000000000035</v>
      </c>
      <c r="AL45" s="68">
        <v>0.90789000000000053</v>
      </c>
      <c r="AM45" s="68">
        <v>0.91418000000000044</v>
      </c>
      <c r="AN45" s="68">
        <v>0.92093000000000047</v>
      </c>
      <c r="AO45" s="68">
        <v>0.92834000000000039</v>
      </c>
      <c r="AP45" s="68">
        <v>0.93652000000000035</v>
      </c>
      <c r="AQ45" s="68">
        <v>0.94540000000000035</v>
      </c>
      <c r="AR45" s="68">
        <v>0.95468000000000053</v>
      </c>
      <c r="AS45" s="68">
        <v>0.96367000000000047</v>
      </c>
      <c r="AT45" s="68">
        <v>0.97087000000000045</v>
      </c>
      <c r="AU45" s="68">
        <v>1.0000000000000004</v>
      </c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0">
        <v>0.52742999999999995</v>
      </c>
      <c r="BG45" s="70">
        <v>0.53924000000000005</v>
      </c>
      <c r="BH45" s="70">
        <v>0.55128999999999995</v>
      </c>
      <c r="BI45" s="70">
        <v>0.56355</v>
      </c>
      <c r="BJ45" s="70">
        <v>0.57599</v>
      </c>
      <c r="BK45" s="70">
        <v>0.58853999999999995</v>
      </c>
      <c r="BL45" s="70">
        <v>0.60116000000000003</v>
      </c>
      <c r="BM45" s="70">
        <v>0.61382000000000003</v>
      </c>
      <c r="BN45" s="70">
        <v>0.62653000000000003</v>
      </c>
      <c r="BO45" s="70">
        <v>0.63929999999999998</v>
      </c>
      <c r="BP45" s="70">
        <v>0.65217000000000003</v>
      </c>
      <c r="BQ45" s="70">
        <v>0.66517000000000004</v>
      </c>
      <c r="BR45" s="70">
        <v>0.67830000000000001</v>
      </c>
      <c r="BS45" s="70">
        <v>0.6915</v>
      </c>
      <c r="BT45" s="70">
        <v>0.70470999999999995</v>
      </c>
      <c r="BU45" s="70">
        <v>0.71782000000000001</v>
      </c>
      <c r="BV45" s="70">
        <v>0.73073999999999995</v>
      </c>
      <c r="BW45" s="70">
        <v>0.74341000000000002</v>
      </c>
      <c r="BX45" s="70">
        <v>0.75580999999999998</v>
      </c>
      <c r="BY45" s="70">
        <v>0.76793999999999996</v>
      </c>
      <c r="BZ45" s="70">
        <v>0.77981</v>
      </c>
      <c r="CA45" s="70">
        <v>0.79146000000000005</v>
      </c>
      <c r="CB45" s="70">
        <v>0.80286999999999997</v>
      </c>
      <c r="CC45" s="70">
        <v>0.81399999999999995</v>
      </c>
      <c r="CD45" s="70">
        <v>0.82477999999999996</v>
      </c>
      <c r="CE45" s="70">
        <v>0.83513999999999999</v>
      </c>
      <c r="CF45" s="70">
        <v>0.84502999999999995</v>
      </c>
      <c r="CG45" s="70">
        <v>0.85441999999999996</v>
      </c>
      <c r="CH45" s="70">
        <v>0.86334</v>
      </c>
      <c r="CI45" s="70">
        <v>0.87182999999999999</v>
      </c>
      <c r="CJ45" s="70">
        <v>0.87995999999999996</v>
      </c>
      <c r="CK45" s="70">
        <v>0.88780000000000003</v>
      </c>
      <c r="CL45" s="70">
        <v>0.89546000000000003</v>
      </c>
      <c r="CM45" s="70">
        <v>0.90303999999999995</v>
      </c>
      <c r="CN45" s="70">
        <v>0.91069</v>
      </c>
      <c r="CO45" s="70">
        <v>0.91857</v>
      </c>
      <c r="CP45" s="70">
        <v>0.92686999999999997</v>
      </c>
      <c r="CQ45" s="70">
        <v>0.93569000000000002</v>
      </c>
      <c r="CR45" s="70">
        <v>0.94499999999999995</v>
      </c>
      <c r="CS45" s="70">
        <v>0.95452999999999999</v>
      </c>
      <c r="CT45" s="70">
        <v>0.96362999999999999</v>
      </c>
      <c r="CU45" s="70">
        <v>0.97087000000000001</v>
      </c>
      <c r="CV45" s="70">
        <v>1</v>
      </c>
      <c r="CW45" s="70"/>
      <c r="CX45" s="70"/>
      <c r="CY45" s="70"/>
      <c r="CZ45" s="70"/>
      <c r="DA45" s="70"/>
      <c r="DB45" s="70"/>
      <c r="DC45" s="70"/>
      <c r="DD45" s="70"/>
      <c r="DE45" s="70"/>
    </row>
    <row r="46" spans="1:109" ht="21" x14ac:dyDescent="0.4">
      <c r="A46" s="66"/>
      <c r="B46" s="66"/>
      <c r="C46" s="66"/>
      <c r="D46" s="61">
        <v>46</v>
      </c>
      <c r="E46" s="67">
        <v>0.60114000000000023</v>
      </c>
      <c r="F46" s="67">
        <v>0.61320000000000008</v>
      </c>
      <c r="G46" s="67">
        <v>0.62531000000000025</v>
      </c>
      <c r="H46" s="67">
        <v>0.63741000000000014</v>
      </c>
      <c r="I46" s="67">
        <v>0.64948000000000006</v>
      </c>
      <c r="J46" s="67">
        <v>0.66148000000000007</v>
      </c>
      <c r="K46" s="67">
        <v>0.67340000000000022</v>
      </c>
      <c r="L46" s="67">
        <v>0.68522000000000027</v>
      </c>
      <c r="M46" s="67">
        <v>0.69695000000000018</v>
      </c>
      <c r="N46" s="67">
        <v>0.70860000000000034</v>
      </c>
      <c r="O46" s="67">
        <v>0.72016000000000036</v>
      </c>
      <c r="P46" s="67">
        <v>0.73162000000000027</v>
      </c>
      <c r="Q46" s="67">
        <v>0.7429300000000002</v>
      </c>
      <c r="R46" s="67">
        <v>0.75405000000000033</v>
      </c>
      <c r="S46" s="67">
        <v>0.7648900000000004</v>
      </c>
      <c r="T46" s="67">
        <v>0.77541000000000049</v>
      </c>
      <c r="U46" s="67">
        <v>0.78557000000000055</v>
      </c>
      <c r="V46" s="67">
        <v>0.79538000000000053</v>
      </c>
      <c r="W46" s="67">
        <v>0.80486000000000046</v>
      </c>
      <c r="X46" s="68">
        <v>0.81406000000000045</v>
      </c>
      <c r="Y46" s="68">
        <v>0.82303000000000048</v>
      </c>
      <c r="Z46" s="68">
        <v>0.83178000000000052</v>
      </c>
      <c r="AA46" s="68">
        <v>0.84029000000000043</v>
      </c>
      <c r="AB46" s="68">
        <v>0.84852000000000061</v>
      </c>
      <c r="AC46" s="68">
        <v>0.85640000000000038</v>
      </c>
      <c r="AD46" s="68">
        <v>0.86387000000000047</v>
      </c>
      <c r="AE46" s="69">
        <v>0.87092000000000047</v>
      </c>
      <c r="AF46" s="68">
        <v>0.87759000000000054</v>
      </c>
      <c r="AG46" s="68">
        <v>0.88393000000000055</v>
      </c>
      <c r="AH46" s="68">
        <v>0.89002000000000048</v>
      </c>
      <c r="AI46" s="68">
        <v>0.89596000000000053</v>
      </c>
      <c r="AJ46" s="68">
        <v>0.90188000000000057</v>
      </c>
      <c r="AK46" s="68">
        <v>0.90789000000000053</v>
      </c>
      <c r="AL46" s="68">
        <v>0.91418000000000055</v>
      </c>
      <c r="AM46" s="68">
        <v>0.92093000000000058</v>
      </c>
      <c r="AN46" s="68">
        <v>0.9283400000000005</v>
      </c>
      <c r="AO46" s="68">
        <v>0.93652000000000057</v>
      </c>
      <c r="AP46" s="68">
        <v>0.94540000000000057</v>
      </c>
      <c r="AQ46" s="68">
        <v>0.95468000000000053</v>
      </c>
      <c r="AR46" s="68">
        <v>0.96367000000000047</v>
      </c>
      <c r="AS46" s="68">
        <v>0.97087000000000057</v>
      </c>
      <c r="AT46" s="68">
        <v>1.0000000000000004</v>
      </c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0">
        <v>0.53924000000000005</v>
      </c>
      <c r="BG46" s="70">
        <v>0.55128999999999995</v>
      </c>
      <c r="BH46" s="70">
        <v>0.56355</v>
      </c>
      <c r="BI46" s="70">
        <v>0.57599</v>
      </c>
      <c r="BJ46" s="70">
        <v>0.58853999999999995</v>
      </c>
      <c r="BK46" s="70">
        <v>0.60116000000000003</v>
      </c>
      <c r="BL46" s="70">
        <v>0.61382000000000003</v>
      </c>
      <c r="BM46" s="70">
        <v>0.62653000000000003</v>
      </c>
      <c r="BN46" s="70">
        <v>0.63929999999999998</v>
      </c>
      <c r="BO46" s="70">
        <v>0.65217000000000003</v>
      </c>
      <c r="BP46" s="70">
        <v>0.66517000000000004</v>
      </c>
      <c r="BQ46" s="70">
        <v>0.67830000000000001</v>
      </c>
      <c r="BR46" s="70">
        <v>0.6915</v>
      </c>
      <c r="BS46" s="70">
        <v>0.70470999999999995</v>
      </c>
      <c r="BT46" s="70">
        <v>0.71782000000000001</v>
      </c>
      <c r="BU46" s="70">
        <v>0.73073999999999995</v>
      </c>
      <c r="BV46" s="70">
        <v>0.74341000000000002</v>
      </c>
      <c r="BW46" s="70">
        <v>0.75580999999999998</v>
      </c>
      <c r="BX46" s="70">
        <v>0.76793999999999996</v>
      </c>
      <c r="BY46" s="70">
        <v>0.77981</v>
      </c>
      <c r="BZ46" s="70">
        <v>0.79146000000000005</v>
      </c>
      <c r="CA46" s="70">
        <v>0.80286999999999997</v>
      </c>
      <c r="CB46" s="70">
        <v>0.81399999999999995</v>
      </c>
      <c r="CC46" s="70">
        <v>0.82477999999999996</v>
      </c>
      <c r="CD46" s="70">
        <v>0.83513999999999999</v>
      </c>
      <c r="CE46" s="70">
        <v>0.84502999999999995</v>
      </c>
      <c r="CF46" s="70">
        <v>0.85441999999999996</v>
      </c>
      <c r="CG46" s="70">
        <v>0.86334</v>
      </c>
      <c r="CH46" s="70">
        <v>0.87182999999999999</v>
      </c>
      <c r="CI46" s="70">
        <v>0.87995999999999996</v>
      </c>
      <c r="CJ46" s="70">
        <v>0.88780000000000003</v>
      </c>
      <c r="CK46" s="70">
        <v>0.89546000000000003</v>
      </c>
      <c r="CL46" s="70">
        <v>0.90303999999999995</v>
      </c>
      <c r="CM46" s="70">
        <v>0.91069</v>
      </c>
      <c r="CN46" s="70">
        <v>0.91857</v>
      </c>
      <c r="CO46" s="70">
        <v>0.92686999999999997</v>
      </c>
      <c r="CP46" s="70">
        <v>0.93569000000000002</v>
      </c>
      <c r="CQ46" s="70">
        <v>0.94499999999999995</v>
      </c>
      <c r="CR46" s="70">
        <v>0.95452999999999999</v>
      </c>
      <c r="CS46" s="70">
        <v>0.96362999999999999</v>
      </c>
      <c r="CT46" s="70">
        <v>0.97087000000000001</v>
      </c>
      <c r="CU46" s="70">
        <v>1</v>
      </c>
      <c r="CV46" s="70"/>
      <c r="CW46" s="70"/>
      <c r="CX46" s="70"/>
      <c r="CY46" s="70"/>
      <c r="CZ46" s="70"/>
      <c r="DA46" s="70"/>
      <c r="DB46" s="70"/>
      <c r="DC46" s="70"/>
      <c r="DD46" s="70"/>
      <c r="DE46" s="70"/>
    </row>
    <row r="47" spans="1:109" ht="21" x14ac:dyDescent="0.4">
      <c r="A47" s="66"/>
      <c r="B47" s="66"/>
      <c r="C47" s="66"/>
      <c r="D47" s="61">
        <v>47</v>
      </c>
      <c r="E47" s="67">
        <v>0.61320000000000008</v>
      </c>
      <c r="F47" s="67">
        <v>0.62531000000000025</v>
      </c>
      <c r="G47" s="67">
        <v>0.63741000000000014</v>
      </c>
      <c r="H47" s="67">
        <v>0.64948000000000006</v>
      </c>
      <c r="I47" s="67">
        <v>0.66148000000000007</v>
      </c>
      <c r="J47" s="67">
        <v>0.67340000000000022</v>
      </c>
      <c r="K47" s="67">
        <v>0.68522000000000027</v>
      </c>
      <c r="L47" s="67">
        <v>0.69695000000000018</v>
      </c>
      <c r="M47" s="67">
        <v>0.70860000000000034</v>
      </c>
      <c r="N47" s="67">
        <v>0.72016000000000036</v>
      </c>
      <c r="O47" s="67">
        <v>0.73162000000000027</v>
      </c>
      <c r="P47" s="67">
        <v>0.7429300000000002</v>
      </c>
      <c r="Q47" s="67">
        <v>0.75405000000000033</v>
      </c>
      <c r="R47" s="67">
        <v>0.7648900000000004</v>
      </c>
      <c r="S47" s="67">
        <v>0.77541000000000049</v>
      </c>
      <c r="T47" s="67">
        <v>0.78557000000000043</v>
      </c>
      <c r="U47" s="67">
        <v>0.79538000000000053</v>
      </c>
      <c r="V47" s="67">
        <v>0.80486000000000046</v>
      </c>
      <c r="W47" s="67">
        <v>0.81406000000000056</v>
      </c>
      <c r="X47" s="68">
        <v>0.82303000000000059</v>
      </c>
      <c r="Y47" s="68">
        <v>0.83178000000000052</v>
      </c>
      <c r="Z47" s="68">
        <v>0.84029000000000054</v>
      </c>
      <c r="AA47" s="68">
        <v>0.84852000000000061</v>
      </c>
      <c r="AB47" s="68">
        <v>0.85640000000000061</v>
      </c>
      <c r="AC47" s="68">
        <v>0.86387000000000058</v>
      </c>
      <c r="AD47" s="68">
        <v>0.87092000000000058</v>
      </c>
      <c r="AE47" s="69">
        <v>0.87759000000000043</v>
      </c>
      <c r="AF47" s="68">
        <v>0.88393000000000044</v>
      </c>
      <c r="AG47" s="68">
        <v>0.89002000000000059</v>
      </c>
      <c r="AH47" s="68">
        <v>0.89596000000000064</v>
      </c>
      <c r="AI47" s="68">
        <v>0.90188000000000046</v>
      </c>
      <c r="AJ47" s="68">
        <v>0.90789000000000053</v>
      </c>
      <c r="AK47" s="68">
        <v>0.91418000000000055</v>
      </c>
      <c r="AL47" s="68">
        <v>0.92093000000000047</v>
      </c>
      <c r="AM47" s="68">
        <v>0.9283400000000005</v>
      </c>
      <c r="AN47" s="68">
        <v>0.93652000000000057</v>
      </c>
      <c r="AO47" s="68">
        <v>0.94540000000000068</v>
      </c>
      <c r="AP47" s="68">
        <v>0.95468000000000053</v>
      </c>
      <c r="AQ47" s="68">
        <v>0.96367000000000047</v>
      </c>
      <c r="AR47" s="68">
        <v>0.97087000000000068</v>
      </c>
      <c r="AS47" s="68">
        <v>1.0000000000000007</v>
      </c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0">
        <v>0.55128999999999995</v>
      </c>
      <c r="BG47" s="70">
        <v>0.56355</v>
      </c>
      <c r="BH47" s="70">
        <v>0.57599</v>
      </c>
      <c r="BI47" s="70">
        <v>0.58853999999999995</v>
      </c>
      <c r="BJ47" s="70">
        <v>0.60116000000000003</v>
      </c>
      <c r="BK47" s="70">
        <v>0.61382000000000003</v>
      </c>
      <c r="BL47" s="70">
        <v>0.62653000000000003</v>
      </c>
      <c r="BM47" s="70">
        <v>0.63929999999999998</v>
      </c>
      <c r="BN47" s="70">
        <v>0.65217000000000003</v>
      </c>
      <c r="BO47" s="70">
        <v>0.66517000000000004</v>
      </c>
      <c r="BP47" s="70">
        <v>0.67830000000000001</v>
      </c>
      <c r="BQ47" s="70">
        <v>0.6915</v>
      </c>
      <c r="BR47" s="70">
        <v>0.70470999999999995</v>
      </c>
      <c r="BS47" s="70">
        <v>0.71782000000000001</v>
      </c>
      <c r="BT47" s="70">
        <v>0.73073999999999995</v>
      </c>
      <c r="BU47" s="70">
        <v>0.74341000000000002</v>
      </c>
      <c r="BV47" s="70">
        <v>0.75580999999999998</v>
      </c>
      <c r="BW47" s="70">
        <v>0.76793999999999996</v>
      </c>
      <c r="BX47" s="70">
        <v>0.77981</v>
      </c>
      <c r="BY47" s="70">
        <v>0.79146000000000005</v>
      </c>
      <c r="BZ47" s="70">
        <v>0.80286999999999997</v>
      </c>
      <c r="CA47" s="70">
        <v>0.81399999999999995</v>
      </c>
      <c r="CB47" s="70">
        <v>0.82477999999999996</v>
      </c>
      <c r="CC47" s="70">
        <v>0.83513999999999999</v>
      </c>
      <c r="CD47" s="70">
        <v>0.84502999999999995</v>
      </c>
      <c r="CE47" s="70">
        <v>0.85441999999999996</v>
      </c>
      <c r="CF47" s="70">
        <v>0.86334</v>
      </c>
      <c r="CG47" s="70">
        <v>0.87182999999999999</v>
      </c>
      <c r="CH47" s="70">
        <v>0.87995999999999996</v>
      </c>
      <c r="CI47" s="70">
        <v>0.88780000000000003</v>
      </c>
      <c r="CJ47" s="70">
        <v>0.89546000000000003</v>
      </c>
      <c r="CK47" s="70">
        <v>0.90303999999999995</v>
      </c>
      <c r="CL47" s="70">
        <v>0.91069</v>
      </c>
      <c r="CM47" s="70">
        <v>0.91857</v>
      </c>
      <c r="CN47" s="70">
        <v>0.92686999999999997</v>
      </c>
      <c r="CO47" s="70">
        <v>0.93569000000000002</v>
      </c>
      <c r="CP47" s="70">
        <v>0.94499999999999995</v>
      </c>
      <c r="CQ47" s="70">
        <v>0.95452999999999999</v>
      </c>
      <c r="CR47" s="70">
        <v>0.96362999999999999</v>
      </c>
      <c r="CS47" s="70">
        <v>0.97087000000000001</v>
      </c>
      <c r="CT47" s="70">
        <v>1</v>
      </c>
      <c r="CU47" s="70"/>
      <c r="CV47" s="70"/>
      <c r="CW47" s="70"/>
      <c r="CX47" s="70"/>
      <c r="CY47" s="70"/>
      <c r="CZ47" s="70"/>
      <c r="DA47" s="70"/>
      <c r="DB47" s="70"/>
      <c r="DC47" s="70"/>
      <c r="DD47" s="70"/>
      <c r="DE47" s="70"/>
    </row>
    <row r="48" spans="1:109" ht="21" x14ac:dyDescent="0.4">
      <c r="A48" s="66"/>
      <c r="B48" s="66"/>
      <c r="C48" s="66"/>
      <c r="D48" s="61">
        <v>48</v>
      </c>
      <c r="E48" s="67">
        <v>0.62531000000000025</v>
      </c>
      <c r="F48" s="67">
        <v>0.63741000000000014</v>
      </c>
      <c r="G48" s="67">
        <v>0.64948000000000006</v>
      </c>
      <c r="H48" s="67">
        <v>0.66148000000000007</v>
      </c>
      <c r="I48" s="67">
        <v>0.67340000000000022</v>
      </c>
      <c r="J48" s="67">
        <v>0.68522000000000027</v>
      </c>
      <c r="K48" s="67">
        <v>0.69695000000000018</v>
      </c>
      <c r="L48" s="67">
        <v>0.70860000000000034</v>
      </c>
      <c r="M48" s="67">
        <v>0.72016000000000036</v>
      </c>
      <c r="N48" s="67">
        <v>0.73162000000000027</v>
      </c>
      <c r="O48" s="67">
        <v>0.7429300000000002</v>
      </c>
      <c r="P48" s="67">
        <v>0.75405000000000033</v>
      </c>
      <c r="Q48" s="67">
        <v>0.7648900000000004</v>
      </c>
      <c r="R48" s="67">
        <v>0.77541000000000049</v>
      </c>
      <c r="S48" s="67">
        <v>0.78557000000000043</v>
      </c>
      <c r="T48" s="67">
        <v>0.79538000000000053</v>
      </c>
      <c r="U48" s="67">
        <v>0.80486000000000057</v>
      </c>
      <c r="V48" s="67">
        <v>0.81406000000000056</v>
      </c>
      <c r="W48" s="67">
        <v>0.82303000000000048</v>
      </c>
      <c r="X48" s="68">
        <v>0.83178000000000063</v>
      </c>
      <c r="Y48" s="68">
        <v>0.84029000000000065</v>
      </c>
      <c r="Z48" s="68">
        <v>0.8485200000000005</v>
      </c>
      <c r="AA48" s="68">
        <v>0.85640000000000061</v>
      </c>
      <c r="AB48" s="68">
        <v>0.86387000000000047</v>
      </c>
      <c r="AC48" s="68">
        <v>0.87092000000000047</v>
      </c>
      <c r="AD48" s="68">
        <v>0.87759000000000054</v>
      </c>
      <c r="AE48" s="69">
        <v>0.88393000000000055</v>
      </c>
      <c r="AF48" s="68">
        <v>0.89002000000000059</v>
      </c>
      <c r="AG48" s="68">
        <v>0.89596000000000053</v>
      </c>
      <c r="AH48" s="68">
        <v>0.90188000000000057</v>
      </c>
      <c r="AI48" s="68">
        <v>0.90789000000000064</v>
      </c>
      <c r="AJ48" s="68">
        <v>0.91418000000000066</v>
      </c>
      <c r="AK48" s="68">
        <v>0.92093000000000069</v>
      </c>
      <c r="AL48" s="68">
        <v>0.92834000000000061</v>
      </c>
      <c r="AM48" s="68">
        <v>0.93652000000000069</v>
      </c>
      <c r="AN48" s="68">
        <v>0.94540000000000068</v>
      </c>
      <c r="AO48" s="68">
        <v>0.95468000000000053</v>
      </c>
      <c r="AP48" s="68">
        <v>0.96367000000000058</v>
      </c>
      <c r="AQ48" s="68">
        <v>0.97087000000000068</v>
      </c>
      <c r="AR48" s="68">
        <v>1.0000000000000007</v>
      </c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0">
        <v>0.56355</v>
      </c>
      <c r="BG48" s="70">
        <v>0.57599</v>
      </c>
      <c r="BH48" s="70">
        <v>0.58853999999999995</v>
      </c>
      <c r="BI48" s="70">
        <v>0.60116000000000003</v>
      </c>
      <c r="BJ48" s="70">
        <v>0.61382000000000003</v>
      </c>
      <c r="BK48" s="70">
        <v>0.62653000000000003</v>
      </c>
      <c r="BL48" s="70">
        <v>0.63929999999999998</v>
      </c>
      <c r="BM48" s="70">
        <v>0.65217000000000003</v>
      </c>
      <c r="BN48" s="70">
        <v>0.66517000000000004</v>
      </c>
      <c r="BO48" s="70">
        <v>0.67830000000000001</v>
      </c>
      <c r="BP48" s="70">
        <v>0.6915</v>
      </c>
      <c r="BQ48" s="70">
        <v>0.70470999999999995</v>
      </c>
      <c r="BR48" s="70">
        <v>0.71782000000000001</v>
      </c>
      <c r="BS48" s="70">
        <v>0.73073999999999995</v>
      </c>
      <c r="BT48" s="70">
        <v>0.74341000000000002</v>
      </c>
      <c r="BU48" s="70">
        <v>0.75580999999999998</v>
      </c>
      <c r="BV48" s="70">
        <v>0.76793999999999996</v>
      </c>
      <c r="BW48" s="70">
        <v>0.77981</v>
      </c>
      <c r="BX48" s="70">
        <v>0.79146000000000005</v>
      </c>
      <c r="BY48" s="70">
        <v>0.80286999999999997</v>
      </c>
      <c r="BZ48" s="70">
        <v>0.81399999999999995</v>
      </c>
      <c r="CA48" s="70">
        <v>0.82477999999999996</v>
      </c>
      <c r="CB48" s="70">
        <v>0.83513999999999999</v>
      </c>
      <c r="CC48" s="70">
        <v>0.84502999999999995</v>
      </c>
      <c r="CD48" s="70">
        <v>0.85441999999999996</v>
      </c>
      <c r="CE48" s="70">
        <v>0.86334</v>
      </c>
      <c r="CF48" s="70">
        <v>0.87182999999999999</v>
      </c>
      <c r="CG48" s="70">
        <v>0.87995999999999996</v>
      </c>
      <c r="CH48" s="70">
        <v>0.88780000000000003</v>
      </c>
      <c r="CI48" s="70">
        <v>0.89546000000000003</v>
      </c>
      <c r="CJ48" s="70">
        <v>0.90303999999999995</v>
      </c>
      <c r="CK48" s="70">
        <v>0.91069</v>
      </c>
      <c r="CL48" s="70">
        <v>0.91857</v>
      </c>
      <c r="CM48" s="70">
        <v>0.92686999999999997</v>
      </c>
      <c r="CN48" s="70">
        <v>0.93569000000000002</v>
      </c>
      <c r="CO48" s="70">
        <v>0.94499999999999995</v>
      </c>
      <c r="CP48" s="70">
        <v>0.95452999999999999</v>
      </c>
      <c r="CQ48" s="70">
        <v>0.96362999999999999</v>
      </c>
      <c r="CR48" s="70">
        <v>0.97087000000000001</v>
      </c>
      <c r="CS48" s="70">
        <v>1</v>
      </c>
      <c r="CT48" s="70"/>
      <c r="CU48" s="70"/>
      <c r="CV48" s="70"/>
      <c r="CW48" s="70"/>
      <c r="CX48" s="70"/>
      <c r="CY48" s="70"/>
      <c r="CZ48" s="70"/>
      <c r="DA48" s="70"/>
      <c r="DB48" s="70"/>
      <c r="DC48" s="70"/>
      <c r="DD48" s="70"/>
      <c r="DE48" s="70"/>
    </row>
    <row r="49" spans="1:109" ht="21" x14ac:dyDescent="0.4">
      <c r="A49" s="66"/>
      <c r="B49" s="66"/>
      <c r="C49" s="66"/>
      <c r="D49" s="61">
        <v>49</v>
      </c>
      <c r="E49" s="67">
        <v>0.63741000000000014</v>
      </c>
      <c r="F49" s="67">
        <v>0.64948000000000006</v>
      </c>
      <c r="G49" s="67">
        <v>0.66148000000000007</v>
      </c>
      <c r="H49" s="67">
        <v>0.67340000000000022</v>
      </c>
      <c r="I49" s="67">
        <v>0.68522000000000027</v>
      </c>
      <c r="J49" s="67">
        <v>0.69695000000000018</v>
      </c>
      <c r="K49" s="67">
        <v>0.70860000000000034</v>
      </c>
      <c r="L49" s="67">
        <v>0.72016000000000036</v>
      </c>
      <c r="M49" s="67">
        <v>0.73162000000000027</v>
      </c>
      <c r="N49" s="67">
        <v>0.7429300000000002</v>
      </c>
      <c r="O49" s="67">
        <v>0.75405000000000033</v>
      </c>
      <c r="P49" s="67">
        <v>0.7648900000000004</v>
      </c>
      <c r="Q49" s="67">
        <v>0.77541000000000049</v>
      </c>
      <c r="R49" s="67">
        <v>0.78557000000000043</v>
      </c>
      <c r="S49" s="67">
        <v>0.79538000000000053</v>
      </c>
      <c r="T49" s="67">
        <v>0.80486000000000069</v>
      </c>
      <c r="U49" s="67">
        <v>0.81406000000000067</v>
      </c>
      <c r="V49" s="67">
        <v>0.82303000000000082</v>
      </c>
      <c r="W49" s="67">
        <v>0.83178000000000074</v>
      </c>
      <c r="X49" s="68">
        <v>0.84029000000000076</v>
      </c>
      <c r="Y49" s="68">
        <v>0.84852000000000072</v>
      </c>
      <c r="Z49" s="68">
        <v>0.85640000000000072</v>
      </c>
      <c r="AA49" s="68">
        <v>0.86387000000000069</v>
      </c>
      <c r="AB49" s="68">
        <v>0.87092000000000069</v>
      </c>
      <c r="AC49" s="68">
        <v>0.87759000000000087</v>
      </c>
      <c r="AD49" s="68">
        <v>0.88393000000000077</v>
      </c>
      <c r="AE49" s="69">
        <v>0.89002000000000081</v>
      </c>
      <c r="AF49" s="68">
        <v>0.89596000000000087</v>
      </c>
      <c r="AG49" s="68">
        <v>0.90188000000000079</v>
      </c>
      <c r="AH49" s="68">
        <v>0.90789000000000075</v>
      </c>
      <c r="AI49" s="68">
        <v>0.91418000000000077</v>
      </c>
      <c r="AJ49" s="68">
        <v>0.9209300000000008</v>
      </c>
      <c r="AK49" s="68">
        <v>0.92834000000000094</v>
      </c>
      <c r="AL49" s="68">
        <v>0.93652000000000091</v>
      </c>
      <c r="AM49" s="68">
        <v>0.94540000000000091</v>
      </c>
      <c r="AN49" s="68">
        <v>0.95468000000000075</v>
      </c>
      <c r="AO49" s="68">
        <v>0.96367000000000091</v>
      </c>
      <c r="AP49" s="68">
        <v>0.9708700000000009</v>
      </c>
      <c r="AQ49" s="68">
        <v>1.0000000000000009</v>
      </c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0">
        <v>0.57599</v>
      </c>
      <c r="BG49" s="70">
        <v>0.58853999999999995</v>
      </c>
      <c r="BH49" s="70">
        <v>0.60116000000000003</v>
      </c>
      <c r="BI49" s="70">
        <v>0.61382000000000003</v>
      </c>
      <c r="BJ49" s="70">
        <v>0.62653000000000003</v>
      </c>
      <c r="BK49" s="70">
        <v>0.63929999999999998</v>
      </c>
      <c r="BL49" s="70">
        <v>0.65217000000000003</v>
      </c>
      <c r="BM49" s="70">
        <v>0.66517000000000004</v>
      </c>
      <c r="BN49" s="70">
        <v>0.67830000000000001</v>
      </c>
      <c r="BO49" s="70">
        <v>0.6915</v>
      </c>
      <c r="BP49" s="70">
        <v>0.70470999999999995</v>
      </c>
      <c r="BQ49" s="70">
        <v>0.71782000000000001</v>
      </c>
      <c r="BR49" s="70">
        <v>0.73073999999999995</v>
      </c>
      <c r="BS49" s="70">
        <v>0.74341000000000002</v>
      </c>
      <c r="BT49" s="70">
        <v>0.75580999999999998</v>
      </c>
      <c r="BU49" s="70">
        <v>0.76793999999999996</v>
      </c>
      <c r="BV49" s="70">
        <v>0.77981</v>
      </c>
      <c r="BW49" s="70">
        <v>0.79146000000000005</v>
      </c>
      <c r="BX49" s="70">
        <v>0.80286999999999997</v>
      </c>
      <c r="BY49" s="70">
        <v>0.81399999999999995</v>
      </c>
      <c r="BZ49" s="70">
        <v>0.82477999999999996</v>
      </c>
      <c r="CA49" s="70">
        <v>0.83513999999999999</v>
      </c>
      <c r="CB49" s="70">
        <v>0.84502999999999995</v>
      </c>
      <c r="CC49" s="70">
        <v>0.85441999999999996</v>
      </c>
      <c r="CD49" s="70">
        <v>0.86334</v>
      </c>
      <c r="CE49" s="70">
        <v>0.87182999999999999</v>
      </c>
      <c r="CF49" s="70">
        <v>0.87995999999999996</v>
      </c>
      <c r="CG49" s="70">
        <v>0.88780000000000003</v>
      </c>
      <c r="CH49" s="70">
        <v>0.89546000000000003</v>
      </c>
      <c r="CI49" s="70">
        <v>0.90303999999999995</v>
      </c>
      <c r="CJ49" s="70">
        <v>0.91069</v>
      </c>
      <c r="CK49" s="70">
        <v>0.91857</v>
      </c>
      <c r="CL49" s="70">
        <v>0.92686999999999997</v>
      </c>
      <c r="CM49" s="70">
        <v>0.93569000000000002</v>
      </c>
      <c r="CN49" s="70">
        <v>0.94499999999999995</v>
      </c>
      <c r="CO49" s="70">
        <v>0.95452999999999999</v>
      </c>
      <c r="CP49" s="70">
        <v>0.96362999999999999</v>
      </c>
      <c r="CQ49" s="70">
        <v>0.97087000000000001</v>
      </c>
      <c r="CR49" s="70">
        <v>1</v>
      </c>
      <c r="CS49" s="70"/>
      <c r="CT49" s="70"/>
      <c r="CU49" s="70"/>
      <c r="CV49" s="70"/>
      <c r="CW49" s="70"/>
      <c r="CX49" s="70"/>
      <c r="CY49" s="70"/>
      <c r="CZ49" s="70"/>
      <c r="DA49" s="70"/>
      <c r="DB49" s="70"/>
      <c r="DC49" s="70"/>
      <c r="DD49" s="70"/>
      <c r="DE49" s="70"/>
    </row>
    <row r="50" spans="1:109" ht="21" x14ac:dyDescent="0.4">
      <c r="A50" s="66"/>
      <c r="B50" s="66"/>
      <c r="C50" s="66"/>
      <c r="D50" s="61">
        <v>50</v>
      </c>
      <c r="E50" s="67">
        <v>0.64948000000000006</v>
      </c>
      <c r="F50" s="67">
        <v>0.66148000000000007</v>
      </c>
      <c r="G50" s="67">
        <v>0.67340000000000022</v>
      </c>
      <c r="H50" s="67">
        <v>0.68522000000000027</v>
      </c>
      <c r="I50" s="67">
        <v>0.69695000000000018</v>
      </c>
      <c r="J50" s="67">
        <v>0.70860000000000034</v>
      </c>
      <c r="K50" s="67">
        <v>0.72016000000000036</v>
      </c>
      <c r="L50" s="67">
        <v>0.73162000000000027</v>
      </c>
      <c r="M50" s="67">
        <v>0.7429300000000002</v>
      </c>
      <c r="N50" s="67">
        <v>0.75405000000000033</v>
      </c>
      <c r="O50" s="67">
        <v>0.7648900000000004</v>
      </c>
      <c r="P50" s="67">
        <v>0.77541000000000049</v>
      </c>
      <c r="Q50" s="67">
        <v>0.78557000000000043</v>
      </c>
      <c r="R50" s="67">
        <v>0.79538000000000053</v>
      </c>
      <c r="S50" s="67">
        <v>0.80486000000000069</v>
      </c>
      <c r="T50" s="67">
        <v>0.81406000000000056</v>
      </c>
      <c r="U50" s="67">
        <v>0.82303000000000048</v>
      </c>
      <c r="V50" s="67">
        <v>0.83178000000000052</v>
      </c>
      <c r="W50" s="67">
        <v>0.84029000000000054</v>
      </c>
      <c r="X50" s="68">
        <v>0.8485200000000005</v>
      </c>
      <c r="Y50" s="68">
        <v>0.85640000000000061</v>
      </c>
      <c r="Z50" s="68">
        <v>0.86387000000000058</v>
      </c>
      <c r="AA50" s="68">
        <v>0.87092000000000058</v>
      </c>
      <c r="AB50" s="68">
        <v>0.87759000000000054</v>
      </c>
      <c r="AC50" s="68">
        <v>0.88393000000000055</v>
      </c>
      <c r="AD50" s="68">
        <v>0.89002000000000048</v>
      </c>
      <c r="AE50" s="69">
        <v>0.89596000000000053</v>
      </c>
      <c r="AF50" s="68">
        <v>0.90188000000000057</v>
      </c>
      <c r="AG50" s="68">
        <v>0.90789000000000053</v>
      </c>
      <c r="AH50" s="68">
        <v>0.91418000000000055</v>
      </c>
      <c r="AI50" s="68">
        <v>0.92093000000000058</v>
      </c>
      <c r="AJ50" s="68">
        <v>0.92834000000000061</v>
      </c>
      <c r="AK50" s="68">
        <v>0.93652000000000057</v>
      </c>
      <c r="AL50" s="68">
        <v>0.94540000000000068</v>
      </c>
      <c r="AM50" s="68">
        <v>0.95468000000000053</v>
      </c>
      <c r="AN50" s="68">
        <v>0.96367000000000058</v>
      </c>
      <c r="AO50" s="68">
        <v>0.97087000000000068</v>
      </c>
      <c r="AP50" s="68">
        <v>1.0000000000000007</v>
      </c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0">
        <v>0.58853999999999995</v>
      </c>
      <c r="BG50" s="70">
        <v>0.60116000000000003</v>
      </c>
      <c r="BH50" s="70">
        <v>0.61382000000000003</v>
      </c>
      <c r="BI50" s="70">
        <v>0.62653000000000003</v>
      </c>
      <c r="BJ50" s="70">
        <v>0.63929999999999998</v>
      </c>
      <c r="BK50" s="70">
        <v>0.65217000000000003</v>
      </c>
      <c r="BL50" s="70">
        <v>0.66517000000000004</v>
      </c>
      <c r="BM50" s="70">
        <v>0.67830000000000001</v>
      </c>
      <c r="BN50" s="70">
        <v>0.6915</v>
      </c>
      <c r="BO50" s="70">
        <v>0.70470999999999995</v>
      </c>
      <c r="BP50" s="70">
        <v>0.71782000000000001</v>
      </c>
      <c r="BQ50" s="70">
        <v>0.73073999999999995</v>
      </c>
      <c r="BR50" s="70">
        <v>0.74341000000000002</v>
      </c>
      <c r="BS50" s="70">
        <v>0.75580999999999998</v>
      </c>
      <c r="BT50" s="70">
        <v>0.76793999999999996</v>
      </c>
      <c r="BU50" s="70">
        <v>0.77981</v>
      </c>
      <c r="BV50" s="70">
        <v>0.79146000000000005</v>
      </c>
      <c r="BW50" s="70">
        <v>0.80286999999999997</v>
      </c>
      <c r="BX50" s="70">
        <v>0.81399999999999995</v>
      </c>
      <c r="BY50" s="70">
        <v>0.82477999999999996</v>
      </c>
      <c r="BZ50" s="70">
        <v>0.83513999999999999</v>
      </c>
      <c r="CA50" s="70">
        <v>0.84502999999999995</v>
      </c>
      <c r="CB50" s="70">
        <v>0.85441999999999996</v>
      </c>
      <c r="CC50" s="70">
        <v>0.86334</v>
      </c>
      <c r="CD50" s="70">
        <v>0.87182999999999999</v>
      </c>
      <c r="CE50" s="70">
        <v>0.87995999999999996</v>
      </c>
      <c r="CF50" s="70">
        <v>0.88780000000000003</v>
      </c>
      <c r="CG50" s="70">
        <v>0.89546000000000003</v>
      </c>
      <c r="CH50" s="70">
        <v>0.90303999999999995</v>
      </c>
      <c r="CI50" s="70">
        <v>0.91069</v>
      </c>
      <c r="CJ50" s="70">
        <v>0.91857</v>
      </c>
      <c r="CK50" s="70">
        <v>0.92686999999999997</v>
      </c>
      <c r="CL50" s="70">
        <v>0.93569000000000002</v>
      </c>
      <c r="CM50" s="70">
        <v>0.94499999999999995</v>
      </c>
      <c r="CN50" s="70">
        <v>0.95452999999999999</v>
      </c>
      <c r="CO50" s="70">
        <v>0.96362999999999999</v>
      </c>
      <c r="CP50" s="70">
        <v>0.97087000000000001</v>
      </c>
      <c r="CQ50" s="70">
        <v>1</v>
      </c>
      <c r="CR50" s="70"/>
      <c r="CS50" s="70"/>
      <c r="CT50" s="70"/>
      <c r="CU50" s="70"/>
      <c r="CV50" s="70"/>
      <c r="CW50" s="70"/>
      <c r="CX50" s="70"/>
      <c r="CY50" s="70"/>
      <c r="CZ50" s="70"/>
      <c r="DA50" s="70"/>
      <c r="DB50" s="70"/>
      <c r="DC50" s="70"/>
      <c r="DD50" s="70"/>
      <c r="DE50" s="70"/>
    </row>
    <row r="51" spans="1:109" ht="21" x14ac:dyDescent="0.4">
      <c r="A51" s="66"/>
      <c r="B51" s="66"/>
      <c r="C51" s="66"/>
      <c r="D51" s="61">
        <v>51</v>
      </c>
      <c r="E51" s="67">
        <v>0.66148000000000007</v>
      </c>
      <c r="F51" s="67">
        <v>0.67340000000000022</v>
      </c>
      <c r="G51" s="67">
        <v>0.68522000000000027</v>
      </c>
      <c r="H51" s="67">
        <v>0.69695000000000018</v>
      </c>
      <c r="I51" s="67">
        <v>0.70860000000000034</v>
      </c>
      <c r="J51" s="67">
        <v>0.72016000000000036</v>
      </c>
      <c r="K51" s="67">
        <v>0.73162000000000027</v>
      </c>
      <c r="L51" s="67">
        <v>0.7429300000000002</v>
      </c>
      <c r="M51" s="67">
        <v>0.75405000000000033</v>
      </c>
      <c r="N51" s="67">
        <v>0.7648900000000004</v>
      </c>
      <c r="O51" s="67">
        <v>0.77541000000000049</v>
      </c>
      <c r="P51" s="67">
        <v>0.78557000000000043</v>
      </c>
      <c r="Q51" s="67">
        <v>0.79538000000000053</v>
      </c>
      <c r="R51" s="67">
        <v>0.80486000000000069</v>
      </c>
      <c r="S51" s="67">
        <v>0.81406000000000056</v>
      </c>
      <c r="T51" s="67">
        <v>0.82303000000000059</v>
      </c>
      <c r="U51" s="67">
        <v>0.83178000000000052</v>
      </c>
      <c r="V51" s="67">
        <v>0.84029000000000065</v>
      </c>
      <c r="W51" s="67">
        <v>0.84852000000000061</v>
      </c>
      <c r="X51" s="68">
        <v>0.85640000000000061</v>
      </c>
      <c r="Y51" s="68">
        <v>0.86387000000000058</v>
      </c>
      <c r="Z51" s="68">
        <v>0.87092000000000069</v>
      </c>
      <c r="AA51" s="68">
        <v>0.87759000000000065</v>
      </c>
      <c r="AB51" s="68">
        <v>0.88393000000000066</v>
      </c>
      <c r="AC51" s="68">
        <v>0.8900200000000007</v>
      </c>
      <c r="AD51" s="68">
        <v>0.89596000000000064</v>
      </c>
      <c r="AE51" s="69">
        <v>0.90188000000000068</v>
      </c>
      <c r="AF51" s="68">
        <v>0.90789000000000064</v>
      </c>
      <c r="AG51" s="68">
        <v>0.91418000000000066</v>
      </c>
      <c r="AH51" s="68">
        <v>0.92093000000000069</v>
      </c>
      <c r="AI51" s="68">
        <v>0.92834000000000061</v>
      </c>
      <c r="AJ51" s="68">
        <v>0.93652000000000069</v>
      </c>
      <c r="AK51" s="68">
        <v>0.94540000000000068</v>
      </c>
      <c r="AL51" s="68">
        <v>0.95468000000000064</v>
      </c>
      <c r="AM51" s="68">
        <v>0.96367000000000069</v>
      </c>
      <c r="AN51" s="68">
        <v>0.97087000000000068</v>
      </c>
      <c r="AO51" s="68">
        <v>1.0000000000000007</v>
      </c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0">
        <v>0.60116000000000003</v>
      </c>
      <c r="BG51" s="70">
        <v>0.61382000000000003</v>
      </c>
      <c r="BH51" s="70">
        <v>0.62653000000000003</v>
      </c>
      <c r="BI51" s="70">
        <v>0.63929999999999998</v>
      </c>
      <c r="BJ51" s="70">
        <v>0.65217000000000003</v>
      </c>
      <c r="BK51" s="70">
        <v>0.66517000000000004</v>
      </c>
      <c r="BL51" s="70">
        <v>0.67830000000000001</v>
      </c>
      <c r="BM51" s="70">
        <v>0.6915</v>
      </c>
      <c r="BN51" s="70">
        <v>0.70470999999999995</v>
      </c>
      <c r="BO51" s="70">
        <v>0.71782000000000001</v>
      </c>
      <c r="BP51" s="70">
        <v>0.73073999999999995</v>
      </c>
      <c r="BQ51" s="70">
        <v>0.74341000000000002</v>
      </c>
      <c r="BR51" s="70">
        <v>0.75580999999999998</v>
      </c>
      <c r="BS51" s="70">
        <v>0.76793999999999996</v>
      </c>
      <c r="BT51" s="70">
        <v>0.77981</v>
      </c>
      <c r="BU51" s="70">
        <v>0.79146000000000005</v>
      </c>
      <c r="BV51" s="70">
        <v>0.80286999999999997</v>
      </c>
      <c r="BW51" s="70">
        <v>0.81399999999999995</v>
      </c>
      <c r="BX51" s="70">
        <v>0.82477999999999996</v>
      </c>
      <c r="BY51" s="70">
        <v>0.83513999999999999</v>
      </c>
      <c r="BZ51" s="70">
        <v>0.84502999999999995</v>
      </c>
      <c r="CA51" s="70">
        <v>0.85441999999999996</v>
      </c>
      <c r="CB51" s="70">
        <v>0.86334</v>
      </c>
      <c r="CC51" s="70">
        <v>0.87182999999999999</v>
      </c>
      <c r="CD51" s="70">
        <v>0.87995999999999996</v>
      </c>
      <c r="CE51" s="70">
        <v>0.88780000000000003</v>
      </c>
      <c r="CF51" s="70">
        <v>0.89546000000000003</v>
      </c>
      <c r="CG51" s="70">
        <v>0.90303999999999995</v>
      </c>
      <c r="CH51" s="70">
        <v>0.91069</v>
      </c>
      <c r="CI51" s="70">
        <v>0.91857</v>
      </c>
      <c r="CJ51" s="70">
        <v>0.92686999999999997</v>
      </c>
      <c r="CK51" s="70">
        <v>0.93569000000000002</v>
      </c>
      <c r="CL51" s="70">
        <v>0.94499999999999995</v>
      </c>
      <c r="CM51" s="70">
        <v>0.95452999999999999</v>
      </c>
      <c r="CN51" s="70">
        <v>0.96362999999999999</v>
      </c>
      <c r="CO51" s="70">
        <v>0.97087000000000001</v>
      </c>
      <c r="CP51" s="70">
        <v>1</v>
      </c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</row>
    <row r="52" spans="1:109" ht="21" x14ac:dyDescent="0.4">
      <c r="A52" s="66"/>
      <c r="B52" s="66"/>
      <c r="C52" s="66"/>
      <c r="D52" s="61">
        <v>52</v>
      </c>
      <c r="E52" s="67">
        <v>0.67340000000000022</v>
      </c>
      <c r="F52" s="67">
        <v>0.68522000000000027</v>
      </c>
      <c r="G52" s="67">
        <v>0.69695000000000018</v>
      </c>
      <c r="H52" s="67">
        <v>0.70860000000000034</v>
      </c>
      <c r="I52" s="67">
        <v>0.72016000000000036</v>
      </c>
      <c r="J52" s="67">
        <v>0.73162000000000027</v>
      </c>
      <c r="K52" s="67">
        <v>0.7429300000000002</v>
      </c>
      <c r="L52" s="67">
        <v>0.75405000000000033</v>
      </c>
      <c r="M52" s="67">
        <v>0.7648900000000004</v>
      </c>
      <c r="N52" s="67">
        <v>0.77541000000000049</v>
      </c>
      <c r="O52" s="67">
        <v>0.78557000000000043</v>
      </c>
      <c r="P52" s="67">
        <v>0.79538000000000053</v>
      </c>
      <c r="Q52" s="67">
        <v>0.80486000000000069</v>
      </c>
      <c r="R52" s="67">
        <v>0.81406000000000056</v>
      </c>
      <c r="S52" s="67">
        <v>0.82303000000000059</v>
      </c>
      <c r="T52" s="67">
        <v>0.83178000000000052</v>
      </c>
      <c r="U52" s="67">
        <v>0.84029000000000054</v>
      </c>
      <c r="V52" s="67">
        <v>0.8485200000000005</v>
      </c>
      <c r="W52" s="67">
        <v>0.85640000000000049</v>
      </c>
      <c r="X52" s="68">
        <v>0.86387000000000058</v>
      </c>
      <c r="Y52" s="68">
        <v>0.87092000000000058</v>
      </c>
      <c r="Z52" s="68">
        <v>0.87759000000000054</v>
      </c>
      <c r="AA52" s="68">
        <v>0.88393000000000055</v>
      </c>
      <c r="AB52" s="68">
        <v>0.89002000000000048</v>
      </c>
      <c r="AC52" s="68">
        <v>0.89596000000000053</v>
      </c>
      <c r="AD52" s="68">
        <v>0.90188000000000057</v>
      </c>
      <c r="AE52" s="69">
        <v>0.90789000000000053</v>
      </c>
      <c r="AF52" s="68">
        <v>0.91418000000000055</v>
      </c>
      <c r="AG52" s="68">
        <v>0.92093000000000058</v>
      </c>
      <c r="AH52" s="68">
        <v>0.9283400000000005</v>
      </c>
      <c r="AI52" s="68">
        <v>0.93652000000000057</v>
      </c>
      <c r="AJ52" s="68">
        <v>0.94540000000000057</v>
      </c>
      <c r="AK52" s="68">
        <v>0.95468000000000053</v>
      </c>
      <c r="AL52" s="68">
        <v>0.96367000000000058</v>
      </c>
      <c r="AM52" s="68">
        <v>0.97087000000000057</v>
      </c>
      <c r="AN52" s="68">
        <v>1.0000000000000007</v>
      </c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0">
        <v>0.61382000000000003</v>
      </c>
      <c r="BG52" s="70">
        <v>0.62653000000000003</v>
      </c>
      <c r="BH52" s="70">
        <v>0.63929999999999998</v>
      </c>
      <c r="BI52" s="70">
        <v>0.65217000000000003</v>
      </c>
      <c r="BJ52" s="70">
        <v>0.66517000000000004</v>
      </c>
      <c r="BK52" s="70">
        <v>0.67830000000000001</v>
      </c>
      <c r="BL52" s="70">
        <v>0.6915</v>
      </c>
      <c r="BM52" s="70">
        <v>0.70470999999999995</v>
      </c>
      <c r="BN52" s="70">
        <v>0.71782000000000001</v>
      </c>
      <c r="BO52" s="70">
        <v>0.73073999999999995</v>
      </c>
      <c r="BP52" s="70">
        <v>0.74341000000000002</v>
      </c>
      <c r="BQ52" s="70">
        <v>0.75580999999999998</v>
      </c>
      <c r="BR52" s="70">
        <v>0.76793999999999996</v>
      </c>
      <c r="BS52" s="70">
        <v>0.77981</v>
      </c>
      <c r="BT52" s="70">
        <v>0.79146000000000005</v>
      </c>
      <c r="BU52" s="70">
        <v>0.80286999999999997</v>
      </c>
      <c r="BV52" s="70">
        <v>0.81399999999999995</v>
      </c>
      <c r="BW52" s="70">
        <v>0.82477999999999996</v>
      </c>
      <c r="BX52" s="70">
        <v>0.83513999999999999</v>
      </c>
      <c r="BY52" s="70">
        <v>0.84502999999999995</v>
      </c>
      <c r="BZ52" s="70">
        <v>0.85441999999999996</v>
      </c>
      <c r="CA52" s="70">
        <v>0.86334</v>
      </c>
      <c r="CB52" s="70">
        <v>0.87182999999999999</v>
      </c>
      <c r="CC52" s="70">
        <v>0.87995999999999996</v>
      </c>
      <c r="CD52" s="70">
        <v>0.88780000000000003</v>
      </c>
      <c r="CE52" s="70">
        <v>0.89546000000000003</v>
      </c>
      <c r="CF52" s="70">
        <v>0.90303999999999995</v>
      </c>
      <c r="CG52" s="70">
        <v>0.91069</v>
      </c>
      <c r="CH52" s="70">
        <v>0.91857</v>
      </c>
      <c r="CI52" s="70">
        <v>0.92686999999999997</v>
      </c>
      <c r="CJ52" s="70">
        <v>0.93569000000000002</v>
      </c>
      <c r="CK52" s="70">
        <v>0.94499999999999995</v>
      </c>
      <c r="CL52" s="70">
        <v>0.95452999999999999</v>
      </c>
      <c r="CM52" s="70">
        <v>0.96362999999999999</v>
      </c>
      <c r="CN52" s="70">
        <v>0.97087000000000001</v>
      </c>
      <c r="CO52" s="70">
        <v>1</v>
      </c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  <c r="DB52" s="70"/>
      <c r="DC52" s="70"/>
      <c r="DD52" s="70"/>
      <c r="DE52" s="70"/>
    </row>
    <row r="53" spans="1:109" ht="21" x14ac:dyDescent="0.4">
      <c r="A53" s="66"/>
      <c r="B53" s="66"/>
      <c r="C53" s="66"/>
      <c r="D53" s="61">
        <v>53</v>
      </c>
      <c r="E53" s="67">
        <v>0.68522000000000027</v>
      </c>
      <c r="F53" s="67">
        <v>0.69695000000000018</v>
      </c>
      <c r="G53" s="67">
        <v>0.70860000000000034</v>
      </c>
      <c r="H53" s="67">
        <v>0.72016000000000036</v>
      </c>
      <c r="I53" s="67">
        <v>0.73162000000000027</v>
      </c>
      <c r="J53" s="67">
        <v>0.7429300000000002</v>
      </c>
      <c r="K53" s="67">
        <v>0.75405000000000033</v>
      </c>
      <c r="L53" s="67">
        <v>0.7648900000000004</v>
      </c>
      <c r="M53" s="67">
        <v>0.77541000000000049</v>
      </c>
      <c r="N53" s="67">
        <v>0.78557000000000043</v>
      </c>
      <c r="O53" s="67">
        <v>0.79538000000000053</v>
      </c>
      <c r="P53" s="67">
        <v>0.80486000000000069</v>
      </c>
      <c r="Q53" s="67">
        <v>0.81406000000000056</v>
      </c>
      <c r="R53" s="67">
        <v>0.82303000000000059</v>
      </c>
      <c r="S53" s="67">
        <v>0.83178000000000052</v>
      </c>
      <c r="T53" s="67">
        <v>0.84029000000000065</v>
      </c>
      <c r="U53" s="67">
        <v>0.84852000000000061</v>
      </c>
      <c r="V53" s="67">
        <v>0.85640000000000061</v>
      </c>
      <c r="W53" s="67">
        <v>0.86387000000000058</v>
      </c>
      <c r="X53" s="68">
        <v>0.87092000000000069</v>
      </c>
      <c r="Y53" s="68">
        <v>0.87759000000000065</v>
      </c>
      <c r="Z53" s="68">
        <v>0.88393000000000066</v>
      </c>
      <c r="AA53" s="68">
        <v>0.8900200000000007</v>
      </c>
      <c r="AB53" s="68">
        <v>0.89596000000000064</v>
      </c>
      <c r="AC53" s="68">
        <v>0.90188000000000068</v>
      </c>
      <c r="AD53" s="68">
        <v>0.90789000000000064</v>
      </c>
      <c r="AE53" s="69">
        <v>0.91418000000000066</v>
      </c>
      <c r="AF53" s="68">
        <v>0.92093000000000069</v>
      </c>
      <c r="AG53" s="68">
        <v>0.92834000000000061</v>
      </c>
      <c r="AH53" s="68">
        <v>0.93652000000000069</v>
      </c>
      <c r="AI53" s="68">
        <v>0.94540000000000068</v>
      </c>
      <c r="AJ53" s="68">
        <v>0.95468000000000075</v>
      </c>
      <c r="AK53" s="68">
        <v>0.96367000000000069</v>
      </c>
      <c r="AL53" s="68">
        <v>0.97087000000000079</v>
      </c>
      <c r="AM53" s="68">
        <v>1.0000000000000007</v>
      </c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0">
        <v>0.62653000000000003</v>
      </c>
      <c r="BG53" s="70">
        <v>0.63929999999999998</v>
      </c>
      <c r="BH53" s="70">
        <v>0.65217000000000003</v>
      </c>
      <c r="BI53" s="70">
        <v>0.66517000000000004</v>
      </c>
      <c r="BJ53" s="70">
        <v>0.67830000000000001</v>
      </c>
      <c r="BK53" s="70">
        <v>0.6915</v>
      </c>
      <c r="BL53" s="70">
        <v>0.70470999999999995</v>
      </c>
      <c r="BM53" s="70">
        <v>0.71782000000000001</v>
      </c>
      <c r="BN53" s="70">
        <v>0.73073999999999995</v>
      </c>
      <c r="BO53" s="70">
        <v>0.74341000000000002</v>
      </c>
      <c r="BP53" s="70">
        <v>0.75580999999999998</v>
      </c>
      <c r="BQ53" s="70">
        <v>0.76793999999999996</v>
      </c>
      <c r="BR53" s="70">
        <v>0.77981</v>
      </c>
      <c r="BS53" s="70">
        <v>0.79146000000000005</v>
      </c>
      <c r="BT53" s="70">
        <v>0.80286999999999997</v>
      </c>
      <c r="BU53" s="70">
        <v>0.81399999999999995</v>
      </c>
      <c r="BV53" s="70">
        <v>0.82477999999999996</v>
      </c>
      <c r="BW53" s="70">
        <v>0.83513999999999999</v>
      </c>
      <c r="BX53" s="70">
        <v>0.84502999999999995</v>
      </c>
      <c r="BY53" s="70">
        <v>0.85441999999999996</v>
      </c>
      <c r="BZ53" s="70">
        <v>0.86334</v>
      </c>
      <c r="CA53" s="70">
        <v>0.87182999999999999</v>
      </c>
      <c r="CB53" s="70">
        <v>0.87995999999999996</v>
      </c>
      <c r="CC53" s="70">
        <v>0.88780000000000003</v>
      </c>
      <c r="CD53" s="70">
        <v>0.89546000000000003</v>
      </c>
      <c r="CE53" s="70">
        <v>0.90303999999999995</v>
      </c>
      <c r="CF53" s="70">
        <v>0.91069</v>
      </c>
      <c r="CG53" s="70">
        <v>0.91857</v>
      </c>
      <c r="CH53" s="70">
        <v>0.92686999999999997</v>
      </c>
      <c r="CI53" s="70">
        <v>0.93569000000000002</v>
      </c>
      <c r="CJ53" s="70">
        <v>0.94499999999999995</v>
      </c>
      <c r="CK53" s="70">
        <v>0.95452999999999999</v>
      </c>
      <c r="CL53" s="70">
        <v>0.96362999999999999</v>
      </c>
      <c r="CM53" s="70">
        <v>0.97087000000000001</v>
      </c>
      <c r="CN53" s="70">
        <v>1</v>
      </c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  <c r="DB53" s="70"/>
      <c r="DC53" s="70"/>
      <c r="DD53" s="70"/>
      <c r="DE53" s="70"/>
    </row>
    <row r="54" spans="1:109" ht="21" x14ac:dyDescent="0.4">
      <c r="A54" s="66"/>
      <c r="B54" s="66"/>
      <c r="C54" s="66"/>
      <c r="D54" s="61">
        <v>54</v>
      </c>
      <c r="E54" s="67">
        <v>0.69695000000000018</v>
      </c>
      <c r="F54" s="67">
        <v>0.70860000000000034</v>
      </c>
      <c r="G54" s="67">
        <v>0.72016000000000036</v>
      </c>
      <c r="H54" s="67">
        <v>0.73162000000000027</v>
      </c>
      <c r="I54" s="67">
        <v>0.7429300000000002</v>
      </c>
      <c r="J54" s="67">
        <v>0.75405000000000033</v>
      </c>
      <c r="K54" s="67">
        <v>0.7648900000000004</v>
      </c>
      <c r="L54" s="67">
        <v>0.77541000000000049</v>
      </c>
      <c r="M54" s="67">
        <v>0.78557000000000043</v>
      </c>
      <c r="N54" s="67">
        <v>0.79538000000000053</v>
      </c>
      <c r="O54" s="67">
        <v>0.80486000000000069</v>
      </c>
      <c r="P54" s="67">
        <v>0.81406000000000056</v>
      </c>
      <c r="Q54" s="67">
        <v>0.82303000000000059</v>
      </c>
      <c r="R54" s="67">
        <v>0.83178000000000052</v>
      </c>
      <c r="S54" s="67">
        <v>0.84029000000000065</v>
      </c>
      <c r="T54" s="67">
        <v>0.84852000000000061</v>
      </c>
      <c r="U54" s="67">
        <v>0.85640000000000061</v>
      </c>
      <c r="V54" s="67">
        <v>0.86387000000000058</v>
      </c>
      <c r="W54" s="67">
        <v>0.87092000000000058</v>
      </c>
      <c r="X54" s="68">
        <v>0.87759000000000054</v>
      </c>
      <c r="Y54" s="68">
        <v>0.88393000000000066</v>
      </c>
      <c r="Z54" s="68">
        <v>0.89002000000000059</v>
      </c>
      <c r="AA54" s="68">
        <v>0.89596000000000064</v>
      </c>
      <c r="AB54" s="68">
        <v>0.90188000000000068</v>
      </c>
      <c r="AC54" s="68">
        <v>0.90789000000000064</v>
      </c>
      <c r="AD54" s="68">
        <v>0.91418000000000066</v>
      </c>
      <c r="AE54" s="69">
        <v>0.92093000000000058</v>
      </c>
      <c r="AF54" s="68">
        <v>0.92834000000000061</v>
      </c>
      <c r="AG54" s="68">
        <v>0.93652000000000057</v>
      </c>
      <c r="AH54" s="68">
        <v>0.94540000000000057</v>
      </c>
      <c r="AI54" s="68">
        <v>0.95468000000000064</v>
      </c>
      <c r="AJ54" s="68">
        <v>0.96367000000000069</v>
      </c>
      <c r="AK54" s="68">
        <v>0.97087000000000068</v>
      </c>
      <c r="AL54" s="68">
        <v>1.0000000000000007</v>
      </c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0">
        <v>0.63929999999999998</v>
      </c>
      <c r="BG54" s="70">
        <v>0.65217000000000003</v>
      </c>
      <c r="BH54" s="70">
        <v>0.66517000000000004</v>
      </c>
      <c r="BI54" s="70">
        <v>0.67830000000000001</v>
      </c>
      <c r="BJ54" s="70">
        <v>0.6915</v>
      </c>
      <c r="BK54" s="70">
        <v>0.70470999999999995</v>
      </c>
      <c r="BL54" s="70">
        <v>0.71782000000000001</v>
      </c>
      <c r="BM54" s="70">
        <v>0.73073999999999995</v>
      </c>
      <c r="BN54" s="70">
        <v>0.74341000000000002</v>
      </c>
      <c r="BO54" s="70">
        <v>0.75580999999999998</v>
      </c>
      <c r="BP54" s="70">
        <v>0.76793999999999996</v>
      </c>
      <c r="BQ54" s="70">
        <v>0.77981</v>
      </c>
      <c r="BR54" s="70">
        <v>0.79146000000000005</v>
      </c>
      <c r="BS54" s="70">
        <v>0.80286999999999997</v>
      </c>
      <c r="BT54" s="70">
        <v>0.81399999999999995</v>
      </c>
      <c r="BU54" s="70">
        <v>0.82477999999999996</v>
      </c>
      <c r="BV54" s="70">
        <v>0.83513999999999999</v>
      </c>
      <c r="BW54" s="70">
        <v>0.84502999999999995</v>
      </c>
      <c r="BX54" s="70">
        <v>0.85441999999999996</v>
      </c>
      <c r="BY54" s="70">
        <v>0.86334</v>
      </c>
      <c r="BZ54" s="70">
        <v>0.87182999999999999</v>
      </c>
      <c r="CA54" s="70">
        <v>0.87995999999999996</v>
      </c>
      <c r="CB54" s="70">
        <v>0.88780000000000003</v>
      </c>
      <c r="CC54" s="70">
        <v>0.89546000000000003</v>
      </c>
      <c r="CD54" s="70">
        <v>0.90303999999999995</v>
      </c>
      <c r="CE54" s="70">
        <v>0.91069</v>
      </c>
      <c r="CF54" s="70">
        <v>0.91857</v>
      </c>
      <c r="CG54" s="70">
        <v>0.92686999999999997</v>
      </c>
      <c r="CH54" s="70">
        <v>0.93569000000000002</v>
      </c>
      <c r="CI54" s="70">
        <v>0.94499999999999995</v>
      </c>
      <c r="CJ54" s="70">
        <v>0.95452999999999999</v>
      </c>
      <c r="CK54" s="70">
        <v>0.96362999999999999</v>
      </c>
      <c r="CL54" s="70">
        <v>0.97087000000000001</v>
      </c>
      <c r="CM54" s="70">
        <v>1</v>
      </c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  <c r="DB54" s="70"/>
      <c r="DC54" s="70"/>
      <c r="DD54" s="70"/>
      <c r="DE54" s="70"/>
    </row>
    <row r="55" spans="1:109" ht="21" x14ac:dyDescent="0.4">
      <c r="A55" s="66"/>
      <c r="B55" s="66"/>
      <c r="C55" s="66"/>
      <c r="D55" s="61">
        <v>55</v>
      </c>
      <c r="E55" s="67">
        <v>0.70860000000000034</v>
      </c>
      <c r="F55" s="67">
        <v>0.72016000000000036</v>
      </c>
      <c r="G55" s="67">
        <v>0.73162000000000027</v>
      </c>
      <c r="H55" s="67">
        <v>0.7429300000000002</v>
      </c>
      <c r="I55" s="67">
        <v>0.75405000000000033</v>
      </c>
      <c r="J55" s="67">
        <v>0.7648900000000004</v>
      </c>
      <c r="K55" s="67">
        <v>0.77541000000000049</v>
      </c>
      <c r="L55" s="67">
        <v>0.78557000000000043</v>
      </c>
      <c r="M55" s="67">
        <v>0.79538000000000053</v>
      </c>
      <c r="N55" s="67">
        <v>0.80486000000000069</v>
      </c>
      <c r="O55" s="67">
        <v>0.81406000000000056</v>
      </c>
      <c r="P55" s="67">
        <v>0.82303000000000059</v>
      </c>
      <c r="Q55" s="67">
        <v>0.83178000000000052</v>
      </c>
      <c r="R55" s="67">
        <v>0.84029000000000065</v>
      </c>
      <c r="S55" s="67">
        <v>0.84852000000000061</v>
      </c>
      <c r="T55" s="67">
        <v>0.85640000000000083</v>
      </c>
      <c r="U55" s="67">
        <v>0.8638700000000008</v>
      </c>
      <c r="V55" s="67">
        <v>0.87092000000000069</v>
      </c>
      <c r="W55" s="67">
        <v>0.87759000000000087</v>
      </c>
      <c r="X55" s="68">
        <v>0.88393000000000088</v>
      </c>
      <c r="Y55" s="68">
        <v>0.89002000000000081</v>
      </c>
      <c r="Z55" s="68">
        <v>0.89596000000000087</v>
      </c>
      <c r="AA55" s="68">
        <v>0.90188000000000079</v>
      </c>
      <c r="AB55" s="68">
        <v>0.90789000000000086</v>
      </c>
      <c r="AC55" s="68">
        <v>0.91418000000000088</v>
      </c>
      <c r="AD55" s="68">
        <v>0.9209300000000008</v>
      </c>
      <c r="AE55" s="69">
        <v>0.92834000000000083</v>
      </c>
      <c r="AF55" s="68">
        <v>0.93652000000000091</v>
      </c>
      <c r="AG55" s="68">
        <v>0.9454000000000008</v>
      </c>
      <c r="AH55" s="68">
        <v>0.95468000000000086</v>
      </c>
      <c r="AI55" s="68">
        <v>0.9636700000000008</v>
      </c>
      <c r="AJ55" s="68">
        <v>0.9708700000000009</v>
      </c>
      <c r="AK55" s="68">
        <v>1.0000000000000009</v>
      </c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0">
        <v>0.65217000000000003</v>
      </c>
      <c r="BG55" s="70">
        <v>0.66517000000000004</v>
      </c>
      <c r="BH55" s="70">
        <v>0.67830000000000001</v>
      </c>
      <c r="BI55" s="70">
        <v>0.6915</v>
      </c>
      <c r="BJ55" s="70">
        <v>0.70470999999999995</v>
      </c>
      <c r="BK55" s="70">
        <v>0.71782000000000001</v>
      </c>
      <c r="BL55" s="70">
        <v>0.73073999999999995</v>
      </c>
      <c r="BM55" s="70">
        <v>0.74341000000000002</v>
      </c>
      <c r="BN55" s="70">
        <v>0.75580999999999998</v>
      </c>
      <c r="BO55" s="70">
        <v>0.76793999999999996</v>
      </c>
      <c r="BP55" s="70">
        <v>0.77981</v>
      </c>
      <c r="BQ55" s="70">
        <v>0.79146000000000005</v>
      </c>
      <c r="BR55" s="70">
        <v>0.80286999999999997</v>
      </c>
      <c r="BS55" s="70">
        <v>0.81399999999999995</v>
      </c>
      <c r="BT55" s="70">
        <v>0.82477999999999996</v>
      </c>
      <c r="BU55" s="70">
        <v>0.83513999999999999</v>
      </c>
      <c r="BV55" s="70">
        <v>0.84502999999999995</v>
      </c>
      <c r="BW55" s="70">
        <v>0.85441999999999996</v>
      </c>
      <c r="BX55" s="70">
        <v>0.86334</v>
      </c>
      <c r="BY55" s="70">
        <v>0.87182999999999999</v>
      </c>
      <c r="BZ55" s="70">
        <v>0.87995999999999996</v>
      </c>
      <c r="CA55" s="70">
        <v>0.88780000000000003</v>
      </c>
      <c r="CB55" s="70">
        <v>0.89546000000000003</v>
      </c>
      <c r="CC55" s="70">
        <v>0.90303999999999995</v>
      </c>
      <c r="CD55" s="70">
        <v>0.91069</v>
      </c>
      <c r="CE55" s="70">
        <v>0.91857</v>
      </c>
      <c r="CF55" s="70">
        <v>0.92686999999999997</v>
      </c>
      <c r="CG55" s="70">
        <v>0.93569000000000002</v>
      </c>
      <c r="CH55" s="70">
        <v>0.94499999999999995</v>
      </c>
      <c r="CI55" s="70">
        <v>0.95452999999999999</v>
      </c>
      <c r="CJ55" s="70">
        <v>0.96362999999999999</v>
      </c>
      <c r="CK55" s="70">
        <v>0.97087000000000001</v>
      </c>
      <c r="CL55" s="70">
        <v>1</v>
      </c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  <c r="DB55" s="70"/>
      <c r="DC55" s="70"/>
      <c r="DD55" s="70"/>
      <c r="DE55" s="70"/>
    </row>
    <row r="56" spans="1:109" ht="21" x14ac:dyDescent="0.4">
      <c r="A56" s="66"/>
      <c r="B56" s="66"/>
      <c r="C56" s="66"/>
      <c r="D56" s="61">
        <v>56</v>
      </c>
      <c r="E56" s="67">
        <v>0.72016000000000036</v>
      </c>
      <c r="F56" s="67">
        <v>0.73162000000000027</v>
      </c>
      <c r="G56" s="67">
        <v>0.7429300000000002</v>
      </c>
      <c r="H56" s="67">
        <v>0.75405000000000033</v>
      </c>
      <c r="I56" s="67">
        <v>0.7648900000000004</v>
      </c>
      <c r="J56" s="67">
        <v>0.77541000000000049</v>
      </c>
      <c r="K56" s="67">
        <v>0.78557000000000043</v>
      </c>
      <c r="L56" s="67">
        <v>0.79538000000000053</v>
      </c>
      <c r="M56" s="67">
        <v>0.80486000000000069</v>
      </c>
      <c r="N56" s="67">
        <v>0.81406000000000056</v>
      </c>
      <c r="O56" s="67">
        <v>0.82303000000000059</v>
      </c>
      <c r="P56" s="67">
        <v>0.83178000000000052</v>
      </c>
      <c r="Q56" s="67">
        <v>0.84029000000000065</v>
      </c>
      <c r="R56" s="67">
        <v>0.84852000000000061</v>
      </c>
      <c r="S56" s="67">
        <v>0.85640000000000083</v>
      </c>
      <c r="T56" s="67">
        <v>0.8638700000000008</v>
      </c>
      <c r="U56" s="67">
        <v>0.87092000000000069</v>
      </c>
      <c r="V56" s="67">
        <v>0.87759000000000076</v>
      </c>
      <c r="W56" s="67">
        <v>0.88393000000000077</v>
      </c>
      <c r="X56" s="68">
        <v>0.89002000000000081</v>
      </c>
      <c r="Y56" s="68">
        <v>0.89596000000000076</v>
      </c>
      <c r="Z56" s="68">
        <v>0.9018800000000009</v>
      </c>
      <c r="AA56" s="68">
        <v>0.90789000000000075</v>
      </c>
      <c r="AB56" s="68">
        <v>0.91418000000000088</v>
      </c>
      <c r="AC56" s="68">
        <v>0.92093000000000069</v>
      </c>
      <c r="AD56" s="68">
        <v>0.92834000000000072</v>
      </c>
      <c r="AE56" s="69">
        <v>0.93652000000000091</v>
      </c>
      <c r="AF56" s="68">
        <v>0.94540000000000068</v>
      </c>
      <c r="AG56" s="68">
        <v>0.95468000000000075</v>
      </c>
      <c r="AH56" s="68">
        <v>0.96367000000000069</v>
      </c>
      <c r="AI56" s="68">
        <v>0.97087000000000079</v>
      </c>
      <c r="AJ56" s="68">
        <v>1.0000000000000009</v>
      </c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0">
        <v>0.66517000000000004</v>
      </c>
      <c r="BG56" s="70">
        <v>0.67830000000000001</v>
      </c>
      <c r="BH56" s="70">
        <v>0.6915</v>
      </c>
      <c r="BI56" s="70">
        <v>0.70470999999999995</v>
      </c>
      <c r="BJ56" s="70">
        <v>0.71782000000000001</v>
      </c>
      <c r="BK56" s="70">
        <v>0.73073999999999995</v>
      </c>
      <c r="BL56" s="70">
        <v>0.74341000000000002</v>
      </c>
      <c r="BM56" s="70">
        <v>0.75580999999999998</v>
      </c>
      <c r="BN56" s="70">
        <v>0.76793999999999996</v>
      </c>
      <c r="BO56" s="70">
        <v>0.77981</v>
      </c>
      <c r="BP56" s="70">
        <v>0.79146000000000005</v>
      </c>
      <c r="BQ56" s="70">
        <v>0.80286999999999997</v>
      </c>
      <c r="BR56" s="70">
        <v>0.81399999999999995</v>
      </c>
      <c r="BS56" s="70">
        <v>0.82477999999999996</v>
      </c>
      <c r="BT56" s="70">
        <v>0.83513999999999999</v>
      </c>
      <c r="BU56" s="70">
        <v>0.84502999999999995</v>
      </c>
      <c r="BV56" s="70">
        <v>0.85441999999999996</v>
      </c>
      <c r="BW56" s="70">
        <v>0.86334</v>
      </c>
      <c r="BX56" s="70">
        <v>0.87182999999999999</v>
      </c>
      <c r="BY56" s="70">
        <v>0.87995999999999996</v>
      </c>
      <c r="BZ56" s="70">
        <v>0.88780000000000003</v>
      </c>
      <c r="CA56" s="70">
        <v>0.89546000000000003</v>
      </c>
      <c r="CB56" s="70">
        <v>0.90303999999999995</v>
      </c>
      <c r="CC56" s="70">
        <v>0.91069</v>
      </c>
      <c r="CD56" s="70">
        <v>0.91857</v>
      </c>
      <c r="CE56" s="70">
        <v>0.92686999999999997</v>
      </c>
      <c r="CF56" s="70">
        <v>0.93569000000000002</v>
      </c>
      <c r="CG56" s="70">
        <v>0.94499999999999995</v>
      </c>
      <c r="CH56" s="70">
        <v>0.95452999999999999</v>
      </c>
      <c r="CI56" s="70">
        <v>0.96362999999999999</v>
      </c>
      <c r="CJ56" s="70">
        <v>0.97087000000000001</v>
      </c>
      <c r="CK56" s="70">
        <v>1</v>
      </c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  <c r="DB56" s="70"/>
      <c r="DC56" s="70"/>
      <c r="DD56" s="70"/>
      <c r="DE56" s="70"/>
    </row>
    <row r="57" spans="1:109" ht="21" x14ac:dyDescent="0.4">
      <c r="A57" s="66"/>
      <c r="B57" s="66"/>
      <c r="C57" s="66"/>
      <c r="D57" s="61">
        <v>57</v>
      </c>
      <c r="E57" s="67">
        <v>0.73162000000000027</v>
      </c>
      <c r="F57" s="67">
        <v>0.7429300000000002</v>
      </c>
      <c r="G57" s="67">
        <v>0.75405000000000033</v>
      </c>
      <c r="H57" s="67">
        <v>0.7648900000000004</v>
      </c>
      <c r="I57" s="67">
        <v>0.77541000000000049</v>
      </c>
      <c r="J57" s="67">
        <v>0.78557000000000043</v>
      </c>
      <c r="K57" s="67">
        <v>0.79538000000000053</v>
      </c>
      <c r="L57" s="67">
        <v>0.80486000000000069</v>
      </c>
      <c r="M57" s="67">
        <v>0.81406000000000056</v>
      </c>
      <c r="N57" s="67">
        <v>0.82303000000000059</v>
      </c>
      <c r="O57" s="67">
        <v>0.83178000000000052</v>
      </c>
      <c r="P57" s="67">
        <v>0.84029000000000065</v>
      </c>
      <c r="Q57" s="67">
        <v>0.84852000000000061</v>
      </c>
      <c r="R57" s="67">
        <v>0.85640000000000083</v>
      </c>
      <c r="S57" s="67">
        <v>0.8638700000000008</v>
      </c>
      <c r="T57" s="67">
        <v>0.8709200000000008</v>
      </c>
      <c r="U57" s="67">
        <v>0.87759000000000076</v>
      </c>
      <c r="V57" s="67">
        <v>0.88393000000000077</v>
      </c>
      <c r="W57" s="67">
        <v>0.89002000000000092</v>
      </c>
      <c r="X57" s="68">
        <v>0.89596000000000087</v>
      </c>
      <c r="Y57" s="68">
        <v>0.9018800000000009</v>
      </c>
      <c r="Z57" s="68">
        <v>0.90789000000000086</v>
      </c>
      <c r="AA57" s="68">
        <v>0.91418000000000077</v>
      </c>
      <c r="AB57" s="68">
        <v>0.9209300000000008</v>
      </c>
      <c r="AC57" s="68">
        <v>0.92834000000000083</v>
      </c>
      <c r="AD57" s="68">
        <v>0.93652000000000102</v>
      </c>
      <c r="AE57" s="69">
        <v>0.94540000000000102</v>
      </c>
      <c r="AF57" s="68">
        <v>0.95468000000000086</v>
      </c>
      <c r="AG57" s="68">
        <v>0.96367000000000091</v>
      </c>
      <c r="AH57" s="68">
        <v>0.97087000000000101</v>
      </c>
      <c r="AI57" s="68">
        <v>1.0000000000000009</v>
      </c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0">
        <v>0.67830000000000001</v>
      </c>
      <c r="BG57" s="70">
        <v>0.6915</v>
      </c>
      <c r="BH57" s="70">
        <v>0.70470999999999995</v>
      </c>
      <c r="BI57" s="70">
        <v>0.71782000000000001</v>
      </c>
      <c r="BJ57" s="70">
        <v>0.73073999999999995</v>
      </c>
      <c r="BK57" s="70">
        <v>0.74341000000000002</v>
      </c>
      <c r="BL57" s="70">
        <v>0.75580999999999998</v>
      </c>
      <c r="BM57" s="70">
        <v>0.76793999999999996</v>
      </c>
      <c r="BN57" s="70">
        <v>0.77981</v>
      </c>
      <c r="BO57" s="70">
        <v>0.79146000000000005</v>
      </c>
      <c r="BP57" s="70">
        <v>0.80286999999999997</v>
      </c>
      <c r="BQ57" s="70">
        <v>0.81399999999999995</v>
      </c>
      <c r="BR57" s="70">
        <v>0.82477999999999996</v>
      </c>
      <c r="BS57" s="70">
        <v>0.83513999999999999</v>
      </c>
      <c r="BT57" s="70">
        <v>0.84502999999999995</v>
      </c>
      <c r="BU57" s="70">
        <v>0.85441999999999996</v>
      </c>
      <c r="BV57" s="70">
        <v>0.86334</v>
      </c>
      <c r="BW57" s="70">
        <v>0.87182999999999999</v>
      </c>
      <c r="BX57" s="70">
        <v>0.87995999999999996</v>
      </c>
      <c r="BY57" s="70">
        <v>0.88780000000000003</v>
      </c>
      <c r="BZ57" s="70">
        <v>0.89546000000000003</v>
      </c>
      <c r="CA57" s="70">
        <v>0.90303999999999995</v>
      </c>
      <c r="CB57" s="70">
        <v>0.91069</v>
      </c>
      <c r="CC57" s="70">
        <v>0.91857</v>
      </c>
      <c r="CD57" s="70">
        <v>0.92686999999999997</v>
      </c>
      <c r="CE57" s="70">
        <v>0.93569000000000002</v>
      </c>
      <c r="CF57" s="70">
        <v>0.94499999999999995</v>
      </c>
      <c r="CG57" s="70">
        <v>0.95452999999999999</v>
      </c>
      <c r="CH57" s="70">
        <v>0.96362999999999999</v>
      </c>
      <c r="CI57" s="70">
        <v>0.97087000000000001</v>
      </c>
      <c r="CJ57" s="70">
        <v>1</v>
      </c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  <c r="DB57" s="70"/>
      <c r="DC57" s="70"/>
      <c r="DD57" s="70"/>
      <c r="DE57" s="70"/>
    </row>
    <row r="58" spans="1:109" ht="21" x14ac:dyDescent="0.4">
      <c r="A58" s="66"/>
      <c r="B58" s="66"/>
      <c r="C58" s="66"/>
      <c r="D58" s="61">
        <v>58</v>
      </c>
      <c r="E58" s="67">
        <v>0.7429300000000002</v>
      </c>
      <c r="F58" s="67">
        <v>0.75405000000000033</v>
      </c>
      <c r="G58" s="67">
        <v>0.7648900000000004</v>
      </c>
      <c r="H58" s="67">
        <v>0.77541000000000049</v>
      </c>
      <c r="I58" s="67">
        <v>0.78557000000000043</v>
      </c>
      <c r="J58" s="67">
        <v>0.79538000000000053</v>
      </c>
      <c r="K58" s="67">
        <v>0.80486000000000069</v>
      </c>
      <c r="L58" s="67">
        <v>0.81406000000000056</v>
      </c>
      <c r="M58" s="67">
        <v>0.82303000000000059</v>
      </c>
      <c r="N58" s="67">
        <v>0.83178000000000052</v>
      </c>
      <c r="O58" s="67">
        <v>0.84029000000000065</v>
      </c>
      <c r="P58" s="67">
        <v>0.84852000000000061</v>
      </c>
      <c r="Q58" s="67">
        <v>0.85640000000000083</v>
      </c>
      <c r="R58" s="67">
        <v>0.8638700000000008</v>
      </c>
      <c r="S58" s="67">
        <v>0.8709200000000008</v>
      </c>
      <c r="T58" s="67">
        <v>0.87759000000000054</v>
      </c>
      <c r="U58" s="67">
        <v>0.88393000000000044</v>
      </c>
      <c r="V58" s="67">
        <v>0.89002000000000048</v>
      </c>
      <c r="W58" s="67">
        <v>0.89596000000000053</v>
      </c>
      <c r="X58" s="68">
        <v>0.90188000000000057</v>
      </c>
      <c r="Y58" s="68">
        <v>0.90789000000000053</v>
      </c>
      <c r="Z58" s="68">
        <v>0.91418000000000066</v>
      </c>
      <c r="AA58" s="68">
        <v>0.92093000000000058</v>
      </c>
      <c r="AB58" s="68">
        <v>0.92834000000000061</v>
      </c>
      <c r="AC58" s="68">
        <v>0.93652000000000057</v>
      </c>
      <c r="AD58" s="68">
        <v>0.94540000000000046</v>
      </c>
      <c r="AE58" s="69">
        <v>0.95468000000000064</v>
      </c>
      <c r="AF58" s="68">
        <v>0.96367000000000058</v>
      </c>
      <c r="AG58" s="68">
        <v>0.97087000000000057</v>
      </c>
      <c r="AH58" s="68">
        <v>1.0000000000000004</v>
      </c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0">
        <v>0.6915</v>
      </c>
      <c r="BG58" s="70">
        <v>0.70470999999999995</v>
      </c>
      <c r="BH58" s="70">
        <v>0.71782000000000001</v>
      </c>
      <c r="BI58" s="70">
        <v>0.73073999999999995</v>
      </c>
      <c r="BJ58" s="70">
        <v>0.74341000000000002</v>
      </c>
      <c r="BK58" s="70">
        <v>0.75580999999999998</v>
      </c>
      <c r="BL58" s="70">
        <v>0.76793999999999996</v>
      </c>
      <c r="BM58" s="70">
        <v>0.77981</v>
      </c>
      <c r="BN58" s="70">
        <v>0.79146000000000005</v>
      </c>
      <c r="BO58" s="70">
        <v>0.80286999999999997</v>
      </c>
      <c r="BP58" s="70">
        <v>0.81399999999999995</v>
      </c>
      <c r="BQ58" s="70">
        <v>0.82477999999999996</v>
      </c>
      <c r="BR58" s="70">
        <v>0.83513999999999999</v>
      </c>
      <c r="BS58" s="70">
        <v>0.84502999999999995</v>
      </c>
      <c r="BT58" s="70">
        <v>0.85441999999999996</v>
      </c>
      <c r="BU58" s="70">
        <v>0.86334</v>
      </c>
      <c r="BV58" s="70">
        <v>0.87182999999999999</v>
      </c>
      <c r="BW58" s="70">
        <v>0.87995999999999996</v>
      </c>
      <c r="BX58" s="70">
        <v>0.88780000000000003</v>
      </c>
      <c r="BY58" s="70">
        <v>0.89546000000000003</v>
      </c>
      <c r="BZ58" s="70">
        <v>0.90303999999999995</v>
      </c>
      <c r="CA58" s="70">
        <v>0.91069</v>
      </c>
      <c r="CB58" s="70">
        <v>0.91857</v>
      </c>
      <c r="CC58" s="70">
        <v>0.92686999999999997</v>
      </c>
      <c r="CD58" s="70">
        <v>0.93569000000000002</v>
      </c>
      <c r="CE58" s="70">
        <v>0.94499999999999995</v>
      </c>
      <c r="CF58" s="70">
        <v>0.95452999999999999</v>
      </c>
      <c r="CG58" s="70">
        <v>0.96362999999999999</v>
      </c>
      <c r="CH58" s="70">
        <v>0.97087000000000001</v>
      </c>
      <c r="CI58" s="70">
        <v>1</v>
      </c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  <c r="DB58" s="70"/>
      <c r="DC58" s="70"/>
      <c r="DD58" s="70"/>
      <c r="DE58" s="70"/>
    </row>
    <row r="59" spans="1:109" ht="21" x14ac:dyDescent="0.4">
      <c r="A59" s="66"/>
      <c r="B59" s="66"/>
      <c r="C59" s="66"/>
      <c r="D59" s="61">
        <v>59</v>
      </c>
      <c r="E59" s="67">
        <v>0.75405000000000033</v>
      </c>
      <c r="F59" s="67">
        <v>0.7648900000000004</v>
      </c>
      <c r="G59" s="67">
        <v>0.77541000000000049</v>
      </c>
      <c r="H59" s="67">
        <v>0.78557000000000043</v>
      </c>
      <c r="I59" s="67">
        <v>0.79538000000000053</v>
      </c>
      <c r="J59" s="67">
        <v>0.80486000000000069</v>
      </c>
      <c r="K59" s="67">
        <v>0.81406000000000056</v>
      </c>
      <c r="L59" s="67">
        <v>0.82303000000000059</v>
      </c>
      <c r="M59" s="67">
        <v>0.83178000000000052</v>
      </c>
      <c r="N59" s="67">
        <v>0.84029000000000065</v>
      </c>
      <c r="O59" s="67">
        <v>0.84852000000000061</v>
      </c>
      <c r="P59" s="67">
        <v>0.85640000000000083</v>
      </c>
      <c r="Q59" s="67">
        <v>0.8638700000000008</v>
      </c>
      <c r="R59" s="67">
        <v>0.8709200000000008</v>
      </c>
      <c r="S59" s="67">
        <v>0.87759000000000054</v>
      </c>
      <c r="T59" s="67">
        <v>0.88393000000000055</v>
      </c>
      <c r="U59" s="67">
        <v>0.89002000000000059</v>
      </c>
      <c r="V59" s="67">
        <v>0.89596000000000042</v>
      </c>
      <c r="W59" s="67">
        <v>0.90188000000000057</v>
      </c>
      <c r="X59" s="68">
        <v>0.90789000000000053</v>
      </c>
      <c r="Y59" s="68">
        <v>0.91418000000000044</v>
      </c>
      <c r="Z59" s="68">
        <v>0.92093000000000058</v>
      </c>
      <c r="AA59" s="68">
        <v>0.9283400000000005</v>
      </c>
      <c r="AB59" s="68">
        <v>0.93652000000000057</v>
      </c>
      <c r="AC59" s="68">
        <v>0.94540000000000057</v>
      </c>
      <c r="AD59" s="68">
        <v>0.95468000000000053</v>
      </c>
      <c r="AE59" s="69">
        <v>0.96367000000000047</v>
      </c>
      <c r="AF59" s="68">
        <v>0.97087000000000057</v>
      </c>
      <c r="AG59" s="68">
        <v>1.0000000000000004</v>
      </c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0">
        <v>0.70470999999999995</v>
      </c>
      <c r="BG59" s="70">
        <v>0.71782000000000001</v>
      </c>
      <c r="BH59" s="70">
        <v>0.73073999999999995</v>
      </c>
      <c r="BI59" s="70">
        <v>0.74341000000000002</v>
      </c>
      <c r="BJ59" s="70">
        <v>0.75580999999999998</v>
      </c>
      <c r="BK59" s="70">
        <v>0.76793999999999996</v>
      </c>
      <c r="BL59" s="70">
        <v>0.77981</v>
      </c>
      <c r="BM59" s="70">
        <v>0.79146000000000005</v>
      </c>
      <c r="BN59" s="70">
        <v>0.80286999999999997</v>
      </c>
      <c r="BO59" s="70">
        <v>0.81399999999999995</v>
      </c>
      <c r="BP59" s="70">
        <v>0.82477999999999996</v>
      </c>
      <c r="BQ59" s="70">
        <v>0.83513999999999999</v>
      </c>
      <c r="BR59" s="70">
        <v>0.84502999999999995</v>
      </c>
      <c r="BS59" s="70">
        <v>0.85441999999999996</v>
      </c>
      <c r="BT59" s="70">
        <v>0.86334</v>
      </c>
      <c r="BU59" s="70">
        <v>0.87182999999999999</v>
      </c>
      <c r="BV59" s="70">
        <v>0.87995999999999996</v>
      </c>
      <c r="BW59" s="70">
        <v>0.88780000000000003</v>
      </c>
      <c r="BX59" s="70">
        <v>0.89546000000000003</v>
      </c>
      <c r="BY59" s="70">
        <v>0.90303999999999995</v>
      </c>
      <c r="BZ59" s="70">
        <v>0.91069</v>
      </c>
      <c r="CA59" s="70">
        <v>0.91857</v>
      </c>
      <c r="CB59" s="70">
        <v>0.92686999999999997</v>
      </c>
      <c r="CC59" s="70">
        <v>0.93569000000000002</v>
      </c>
      <c r="CD59" s="70">
        <v>0.94499999999999995</v>
      </c>
      <c r="CE59" s="70">
        <v>0.95452999999999999</v>
      </c>
      <c r="CF59" s="70">
        <v>0.96362999999999999</v>
      </c>
      <c r="CG59" s="70">
        <v>0.97087000000000001</v>
      </c>
      <c r="CH59" s="70">
        <v>1</v>
      </c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  <c r="DB59" s="70"/>
      <c r="DC59" s="70"/>
      <c r="DD59" s="70"/>
      <c r="DE59" s="70"/>
    </row>
    <row r="60" spans="1:109" ht="21" x14ac:dyDescent="0.4">
      <c r="A60" s="66"/>
      <c r="B60" s="66"/>
      <c r="C60" s="66"/>
      <c r="D60" s="61">
        <v>60</v>
      </c>
      <c r="E60" s="67">
        <v>0.7648900000000004</v>
      </c>
      <c r="F60" s="67">
        <v>0.77541000000000049</v>
      </c>
      <c r="G60" s="67">
        <v>0.78557000000000043</v>
      </c>
      <c r="H60" s="67">
        <v>0.79538000000000053</v>
      </c>
      <c r="I60" s="67">
        <v>0.80486000000000069</v>
      </c>
      <c r="J60" s="67">
        <v>0.81406000000000056</v>
      </c>
      <c r="K60" s="67">
        <v>0.82303000000000059</v>
      </c>
      <c r="L60" s="67">
        <v>0.83178000000000052</v>
      </c>
      <c r="M60" s="67">
        <v>0.84029000000000065</v>
      </c>
      <c r="N60" s="67">
        <v>0.84852000000000061</v>
      </c>
      <c r="O60" s="67">
        <v>0.85640000000000083</v>
      </c>
      <c r="P60" s="67">
        <v>0.8638700000000008</v>
      </c>
      <c r="Q60" s="67">
        <v>0.8709200000000008</v>
      </c>
      <c r="R60" s="67">
        <v>0.87759000000000054</v>
      </c>
      <c r="S60" s="67">
        <v>0.88393000000000055</v>
      </c>
      <c r="T60" s="67">
        <v>0.89002000000000037</v>
      </c>
      <c r="U60" s="67">
        <v>0.89596000000000031</v>
      </c>
      <c r="V60" s="67">
        <v>0.90188000000000024</v>
      </c>
      <c r="W60" s="67">
        <v>0.90789000000000031</v>
      </c>
      <c r="X60" s="68">
        <v>0.91418000000000033</v>
      </c>
      <c r="Y60" s="68">
        <v>0.92093000000000036</v>
      </c>
      <c r="Z60" s="68">
        <v>0.92834000000000039</v>
      </c>
      <c r="AA60" s="68">
        <v>0.93652000000000035</v>
      </c>
      <c r="AB60" s="68">
        <v>0.94540000000000046</v>
      </c>
      <c r="AC60" s="68">
        <v>0.95468000000000042</v>
      </c>
      <c r="AD60" s="68">
        <v>0.96367000000000036</v>
      </c>
      <c r="AE60" s="69">
        <v>0.97087000000000045</v>
      </c>
      <c r="AF60" s="68">
        <v>1.0000000000000002</v>
      </c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0">
        <v>0.71782000000000001</v>
      </c>
      <c r="BG60" s="70">
        <v>0.73073999999999995</v>
      </c>
      <c r="BH60" s="70">
        <v>0.74341000000000002</v>
      </c>
      <c r="BI60" s="70">
        <v>0.75580999999999998</v>
      </c>
      <c r="BJ60" s="70">
        <v>0.76793999999999996</v>
      </c>
      <c r="BK60" s="70">
        <v>0.77981</v>
      </c>
      <c r="BL60" s="70">
        <v>0.79146000000000005</v>
      </c>
      <c r="BM60" s="70">
        <v>0.80286999999999997</v>
      </c>
      <c r="BN60" s="70">
        <v>0.81399999999999995</v>
      </c>
      <c r="BO60" s="70">
        <v>0.82477999999999996</v>
      </c>
      <c r="BP60" s="70">
        <v>0.83513999999999999</v>
      </c>
      <c r="BQ60" s="70">
        <v>0.84502999999999995</v>
      </c>
      <c r="BR60" s="70">
        <v>0.85441999999999996</v>
      </c>
      <c r="BS60" s="70">
        <v>0.86334</v>
      </c>
      <c r="BT60" s="70">
        <v>0.87182999999999999</v>
      </c>
      <c r="BU60" s="70">
        <v>0.87995999999999996</v>
      </c>
      <c r="BV60" s="70">
        <v>0.88780000000000003</v>
      </c>
      <c r="BW60" s="70">
        <v>0.89546000000000003</v>
      </c>
      <c r="BX60" s="70">
        <v>0.90303999999999995</v>
      </c>
      <c r="BY60" s="70">
        <v>0.91069</v>
      </c>
      <c r="BZ60" s="70">
        <v>0.91857</v>
      </c>
      <c r="CA60" s="70">
        <v>0.92686999999999997</v>
      </c>
      <c r="CB60" s="70">
        <v>0.93569000000000002</v>
      </c>
      <c r="CC60" s="70">
        <v>0.94499999999999995</v>
      </c>
      <c r="CD60" s="70">
        <v>0.95452999999999999</v>
      </c>
      <c r="CE60" s="70">
        <v>0.96362999999999999</v>
      </c>
      <c r="CF60" s="70">
        <v>0.97087000000000001</v>
      </c>
      <c r="CG60" s="70">
        <v>1</v>
      </c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  <c r="DB60" s="70"/>
      <c r="DC60" s="70"/>
      <c r="DD60" s="70"/>
      <c r="DE60" s="70"/>
    </row>
    <row r="61" spans="1:109" ht="21" x14ac:dyDescent="0.4">
      <c r="A61" s="66"/>
      <c r="B61" s="66"/>
      <c r="C61" s="66"/>
      <c r="D61" s="61">
        <v>61</v>
      </c>
      <c r="E61" s="67">
        <v>0.77541000000000049</v>
      </c>
      <c r="F61" s="67">
        <v>0.78557000000000043</v>
      </c>
      <c r="G61" s="67">
        <v>0.79538000000000053</v>
      </c>
      <c r="H61" s="67">
        <v>0.80486000000000069</v>
      </c>
      <c r="I61" s="67">
        <v>0.81406000000000056</v>
      </c>
      <c r="J61" s="67">
        <v>0.82303000000000059</v>
      </c>
      <c r="K61" s="67">
        <v>0.83178000000000052</v>
      </c>
      <c r="L61" s="67">
        <v>0.84029000000000065</v>
      </c>
      <c r="M61" s="67">
        <v>0.84852000000000061</v>
      </c>
      <c r="N61" s="67">
        <v>0.85640000000000083</v>
      </c>
      <c r="O61" s="67">
        <v>0.8638700000000008</v>
      </c>
      <c r="P61" s="67">
        <v>0.8709200000000008</v>
      </c>
      <c r="Q61" s="67">
        <v>0.87759000000000054</v>
      </c>
      <c r="R61" s="67">
        <v>0.88393000000000055</v>
      </c>
      <c r="S61" s="67">
        <v>0.89002000000000037</v>
      </c>
      <c r="T61" s="67">
        <v>0.89596000000000042</v>
      </c>
      <c r="U61" s="67">
        <v>0.90188000000000057</v>
      </c>
      <c r="V61" s="67">
        <v>0.90789000000000053</v>
      </c>
      <c r="W61" s="67">
        <v>0.91418000000000055</v>
      </c>
      <c r="X61" s="68">
        <v>0.92093000000000047</v>
      </c>
      <c r="Y61" s="68">
        <v>0.9283400000000005</v>
      </c>
      <c r="Z61" s="68">
        <v>0.93652000000000046</v>
      </c>
      <c r="AA61" s="68">
        <v>0.94540000000000057</v>
      </c>
      <c r="AB61" s="68">
        <v>0.95468000000000053</v>
      </c>
      <c r="AC61" s="68">
        <v>0.96367000000000058</v>
      </c>
      <c r="AD61" s="68">
        <v>0.97087000000000057</v>
      </c>
      <c r="AE61" s="69">
        <v>1.0000000000000007</v>
      </c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0">
        <v>0.73073999999999995</v>
      </c>
      <c r="BG61" s="70">
        <v>0.74341000000000002</v>
      </c>
      <c r="BH61" s="70">
        <v>0.75580999999999998</v>
      </c>
      <c r="BI61" s="70">
        <v>0.76793999999999996</v>
      </c>
      <c r="BJ61" s="70">
        <v>0.77981</v>
      </c>
      <c r="BK61" s="70">
        <v>0.79146000000000005</v>
      </c>
      <c r="BL61" s="70">
        <v>0.80286999999999997</v>
      </c>
      <c r="BM61" s="70">
        <v>0.81399999999999995</v>
      </c>
      <c r="BN61" s="70">
        <v>0.82477999999999996</v>
      </c>
      <c r="BO61" s="70">
        <v>0.83513999999999999</v>
      </c>
      <c r="BP61" s="70">
        <v>0.84502999999999995</v>
      </c>
      <c r="BQ61" s="70">
        <v>0.85441999999999996</v>
      </c>
      <c r="BR61" s="70">
        <v>0.86334</v>
      </c>
      <c r="BS61" s="70">
        <v>0.87182999999999999</v>
      </c>
      <c r="BT61" s="70">
        <v>0.87995999999999996</v>
      </c>
      <c r="BU61" s="70">
        <v>0.88780000000000003</v>
      </c>
      <c r="BV61" s="70">
        <v>0.89546000000000003</v>
      </c>
      <c r="BW61" s="70">
        <v>0.90303999999999995</v>
      </c>
      <c r="BX61" s="70">
        <v>0.91069</v>
      </c>
      <c r="BY61" s="70">
        <v>0.91857</v>
      </c>
      <c r="BZ61" s="70">
        <v>0.92686999999999997</v>
      </c>
      <c r="CA61" s="70">
        <v>0.93569000000000002</v>
      </c>
      <c r="CB61" s="70">
        <v>0.94499999999999995</v>
      </c>
      <c r="CC61" s="70">
        <v>0.95452999999999999</v>
      </c>
      <c r="CD61" s="70">
        <v>0.96362999999999999</v>
      </c>
      <c r="CE61" s="70">
        <v>0.97087000000000001</v>
      </c>
      <c r="CF61" s="70">
        <v>1</v>
      </c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  <c r="DB61" s="70"/>
      <c r="DC61" s="70"/>
      <c r="DD61" s="70"/>
      <c r="DE61" s="70"/>
    </row>
    <row r="62" spans="1:109" ht="21" x14ac:dyDescent="0.4">
      <c r="A62" s="66"/>
      <c r="B62" s="66"/>
      <c r="C62" s="66"/>
      <c r="D62" s="61">
        <v>62</v>
      </c>
      <c r="E62" s="67">
        <v>0.78557000000000043</v>
      </c>
      <c r="F62" s="67">
        <v>0.79538000000000053</v>
      </c>
      <c r="G62" s="67">
        <v>0.80486000000000069</v>
      </c>
      <c r="H62" s="67">
        <v>0.81406000000000056</v>
      </c>
      <c r="I62" s="67">
        <v>0.82303000000000059</v>
      </c>
      <c r="J62" s="67">
        <v>0.83178000000000052</v>
      </c>
      <c r="K62" s="67">
        <v>0.84029000000000065</v>
      </c>
      <c r="L62" s="67">
        <v>0.84852000000000061</v>
      </c>
      <c r="M62" s="67">
        <v>0.85640000000000083</v>
      </c>
      <c r="N62" s="67">
        <v>0.8638700000000008</v>
      </c>
      <c r="O62" s="67">
        <v>0.8709200000000008</v>
      </c>
      <c r="P62" s="67">
        <v>0.87759000000000054</v>
      </c>
      <c r="Q62" s="67">
        <v>0.88393000000000055</v>
      </c>
      <c r="R62" s="67">
        <v>0.89002000000000037</v>
      </c>
      <c r="S62" s="67">
        <v>0.89596000000000042</v>
      </c>
      <c r="T62" s="67">
        <v>0.90188000000000046</v>
      </c>
      <c r="U62" s="67">
        <v>0.90789000000000042</v>
      </c>
      <c r="V62" s="67">
        <v>0.91418000000000033</v>
      </c>
      <c r="W62" s="67">
        <v>0.92093000000000036</v>
      </c>
      <c r="X62" s="68">
        <v>0.92834000000000039</v>
      </c>
      <c r="Y62" s="68">
        <v>0.93652000000000035</v>
      </c>
      <c r="Z62" s="68">
        <v>0.94540000000000035</v>
      </c>
      <c r="AA62" s="68">
        <v>0.95468000000000042</v>
      </c>
      <c r="AB62" s="68">
        <v>0.96367000000000047</v>
      </c>
      <c r="AC62" s="68">
        <v>0.97087000000000034</v>
      </c>
      <c r="AD62" s="68">
        <v>1.0000000000000004</v>
      </c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0">
        <v>0.74341000000000002</v>
      </c>
      <c r="BG62" s="70">
        <v>0.75580999999999998</v>
      </c>
      <c r="BH62" s="70">
        <v>0.76793999999999996</v>
      </c>
      <c r="BI62" s="70">
        <v>0.77981</v>
      </c>
      <c r="BJ62" s="70">
        <v>0.79146000000000005</v>
      </c>
      <c r="BK62" s="70">
        <v>0.80286999999999997</v>
      </c>
      <c r="BL62" s="70">
        <v>0.81399999999999995</v>
      </c>
      <c r="BM62" s="70">
        <v>0.82477999999999996</v>
      </c>
      <c r="BN62" s="70">
        <v>0.83513999999999999</v>
      </c>
      <c r="BO62" s="70">
        <v>0.84502999999999995</v>
      </c>
      <c r="BP62" s="70">
        <v>0.85441999999999996</v>
      </c>
      <c r="BQ62" s="70">
        <v>0.86334</v>
      </c>
      <c r="BR62" s="70">
        <v>0.87182999999999999</v>
      </c>
      <c r="BS62" s="70">
        <v>0.87995999999999996</v>
      </c>
      <c r="BT62" s="70">
        <v>0.88780000000000003</v>
      </c>
      <c r="BU62" s="70">
        <v>0.89546000000000003</v>
      </c>
      <c r="BV62" s="70">
        <v>0.90303999999999995</v>
      </c>
      <c r="BW62" s="70">
        <v>0.91069</v>
      </c>
      <c r="BX62" s="70">
        <v>0.91857</v>
      </c>
      <c r="BY62" s="70">
        <v>0.92686999999999997</v>
      </c>
      <c r="BZ62" s="70">
        <v>0.93569000000000002</v>
      </c>
      <c r="CA62" s="70">
        <v>0.94499999999999995</v>
      </c>
      <c r="CB62" s="70">
        <v>0.95452999999999999</v>
      </c>
      <c r="CC62" s="70">
        <v>0.96362999999999999</v>
      </c>
      <c r="CD62" s="70">
        <v>0.97087000000000001</v>
      </c>
      <c r="CE62" s="70">
        <v>1</v>
      </c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  <c r="DB62" s="70"/>
      <c r="DC62" s="70"/>
      <c r="DD62" s="70"/>
      <c r="DE62" s="70"/>
    </row>
    <row r="63" spans="1:109" ht="21" x14ac:dyDescent="0.4">
      <c r="A63" s="66"/>
      <c r="B63" s="66"/>
      <c r="C63" s="66"/>
      <c r="D63" s="61">
        <v>63</v>
      </c>
      <c r="E63" s="67">
        <v>0.79538000000000053</v>
      </c>
      <c r="F63" s="67">
        <v>0.80486000000000069</v>
      </c>
      <c r="G63" s="67">
        <v>0.81406000000000056</v>
      </c>
      <c r="H63" s="67">
        <v>0.82303000000000059</v>
      </c>
      <c r="I63" s="67">
        <v>0.83178000000000052</v>
      </c>
      <c r="J63" s="67">
        <v>0.84029000000000065</v>
      </c>
      <c r="K63" s="67">
        <v>0.84852000000000061</v>
      </c>
      <c r="L63" s="67">
        <v>0.85640000000000083</v>
      </c>
      <c r="M63" s="67">
        <v>0.8638700000000008</v>
      </c>
      <c r="N63" s="67">
        <v>0.8709200000000008</v>
      </c>
      <c r="O63" s="67">
        <v>0.87759000000000054</v>
      </c>
      <c r="P63" s="67">
        <v>0.88393000000000055</v>
      </c>
      <c r="Q63" s="67">
        <v>0.89002000000000037</v>
      </c>
      <c r="R63" s="67">
        <v>0.89596000000000042</v>
      </c>
      <c r="S63" s="67">
        <v>0.90188000000000046</v>
      </c>
      <c r="T63" s="67">
        <v>0.90789000000000064</v>
      </c>
      <c r="U63" s="67">
        <v>0.91418000000000055</v>
      </c>
      <c r="V63" s="67">
        <v>0.92093000000000047</v>
      </c>
      <c r="W63" s="67">
        <v>0.92834000000000061</v>
      </c>
      <c r="X63" s="68">
        <v>0.93652000000000057</v>
      </c>
      <c r="Y63" s="68">
        <v>0.94540000000000057</v>
      </c>
      <c r="Z63" s="68">
        <v>0.95468000000000053</v>
      </c>
      <c r="AA63" s="68">
        <v>0.96367000000000058</v>
      </c>
      <c r="AB63" s="68">
        <v>0.97087000000000057</v>
      </c>
      <c r="AC63" s="68">
        <v>1.0000000000000007</v>
      </c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0">
        <v>0.75580999999999998</v>
      </c>
      <c r="BG63" s="70">
        <v>0.76793999999999996</v>
      </c>
      <c r="BH63" s="70">
        <v>0.77981</v>
      </c>
      <c r="BI63" s="70">
        <v>0.79146000000000005</v>
      </c>
      <c r="BJ63" s="70">
        <v>0.80286999999999997</v>
      </c>
      <c r="BK63" s="70">
        <v>0.81399999999999995</v>
      </c>
      <c r="BL63" s="70">
        <v>0.82477999999999996</v>
      </c>
      <c r="BM63" s="70">
        <v>0.83513999999999999</v>
      </c>
      <c r="BN63" s="70">
        <v>0.84502999999999995</v>
      </c>
      <c r="BO63" s="70">
        <v>0.85441999999999996</v>
      </c>
      <c r="BP63" s="70">
        <v>0.86334</v>
      </c>
      <c r="BQ63" s="70">
        <v>0.87182999999999999</v>
      </c>
      <c r="BR63" s="70">
        <v>0.87995999999999996</v>
      </c>
      <c r="BS63" s="70">
        <v>0.88780000000000003</v>
      </c>
      <c r="BT63" s="70">
        <v>0.89546000000000003</v>
      </c>
      <c r="BU63" s="70">
        <v>0.90303999999999995</v>
      </c>
      <c r="BV63" s="70">
        <v>0.91069</v>
      </c>
      <c r="BW63" s="70">
        <v>0.91857</v>
      </c>
      <c r="BX63" s="70">
        <v>0.92686999999999997</v>
      </c>
      <c r="BY63" s="70">
        <v>0.93569000000000002</v>
      </c>
      <c r="BZ63" s="70">
        <v>0.94499999999999995</v>
      </c>
      <c r="CA63" s="70">
        <v>0.95452999999999999</v>
      </c>
      <c r="CB63" s="70">
        <v>0.96362999999999999</v>
      </c>
      <c r="CC63" s="70">
        <v>0.97087000000000001</v>
      </c>
      <c r="CD63" s="70">
        <v>1</v>
      </c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  <c r="DB63" s="70"/>
      <c r="DC63" s="70"/>
      <c r="DD63" s="70"/>
      <c r="DE63" s="70"/>
    </row>
    <row r="64" spans="1:109" ht="21" x14ac:dyDescent="0.4">
      <c r="A64" s="66"/>
      <c r="B64" s="66"/>
      <c r="C64" s="66"/>
      <c r="D64" s="61">
        <v>64</v>
      </c>
      <c r="E64" s="67">
        <v>0.80486000000000069</v>
      </c>
      <c r="F64" s="67">
        <v>0.81406000000000056</v>
      </c>
      <c r="G64" s="67">
        <v>0.82303000000000059</v>
      </c>
      <c r="H64" s="67">
        <v>0.83178000000000052</v>
      </c>
      <c r="I64" s="67">
        <v>0.84029000000000065</v>
      </c>
      <c r="J64" s="67">
        <v>0.84852000000000061</v>
      </c>
      <c r="K64" s="67">
        <v>0.85640000000000083</v>
      </c>
      <c r="L64" s="67">
        <v>0.8638700000000008</v>
      </c>
      <c r="M64" s="67">
        <v>0.8709200000000008</v>
      </c>
      <c r="N64" s="67">
        <v>0.87759000000000054</v>
      </c>
      <c r="O64" s="67">
        <v>0.88393000000000055</v>
      </c>
      <c r="P64" s="67">
        <v>0.89002000000000037</v>
      </c>
      <c r="Q64" s="67">
        <v>0.89596000000000042</v>
      </c>
      <c r="R64" s="67">
        <v>0.90188000000000046</v>
      </c>
      <c r="S64" s="67">
        <v>0.90789000000000064</v>
      </c>
      <c r="T64" s="67">
        <v>0.91418000000000044</v>
      </c>
      <c r="U64" s="67">
        <v>0.92093000000000036</v>
      </c>
      <c r="V64" s="67">
        <v>0.9283400000000005</v>
      </c>
      <c r="W64" s="67">
        <v>0.93652000000000046</v>
      </c>
      <c r="X64" s="68">
        <v>0.94540000000000057</v>
      </c>
      <c r="Y64" s="68">
        <v>0.95468000000000053</v>
      </c>
      <c r="Z64" s="68">
        <v>0.96367000000000047</v>
      </c>
      <c r="AA64" s="68">
        <v>0.97087000000000045</v>
      </c>
      <c r="AB64" s="68">
        <v>1.0000000000000004</v>
      </c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0">
        <v>0.76793999999999996</v>
      </c>
      <c r="BG64" s="70">
        <v>0.77981</v>
      </c>
      <c r="BH64" s="70">
        <v>0.79146000000000005</v>
      </c>
      <c r="BI64" s="70">
        <v>0.80286999999999997</v>
      </c>
      <c r="BJ64" s="70">
        <v>0.81399999999999995</v>
      </c>
      <c r="BK64" s="70">
        <v>0.82477999999999996</v>
      </c>
      <c r="BL64" s="70">
        <v>0.83513999999999999</v>
      </c>
      <c r="BM64" s="70">
        <v>0.84502999999999995</v>
      </c>
      <c r="BN64" s="70">
        <v>0.85441999999999996</v>
      </c>
      <c r="BO64" s="70">
        <v>0.86334</v>
      </c>
      <c r="BP64" s="70">
        <v>0.87182999999999999</v>
      </c>
      <c r="BQ64" s="70">
        <v>0.87995999999999996</v>
      </c>
      <c r="BR64" s="70">
        <v>0.88780000000000003</v>
      </c>
      <c r="BS64" s="70">
        <v>0.89546000000000003</v>
      </c>
      <c r="BT64" s="70">
        <v>0.90303999999999995</v>
      </c>
      <c r="BU64" s="70">
        <v>0.91069</v>
      </c>
      <c r="BV64" s="70">
        <v>0.91857</v>
      </c>
      <c r="BW64" s="70">
        <v>0.92686999999999997</v>
      </c>
      <c r="BX64" s="70">
        <v>0.93569000000000002</v>
      </c>
      <c r="BY64" s="70">
        <v>0.94499999999999995</v>
      </c>
      <c r="BZ64" s="70">
        <v>0.95452999999999999</v>
      </c>
      <c r="CA64" s="70">
        <v>0.96362999999999999</v>
      </c>
      <c r="CB64" s="70">
        <v>0.97087000000000001</v>
      </c>
      <c r="CC64" s="70">
        <v>1</v>
      </c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  <c r="DB64" s="70"/>
      <c r="DC64" s="70"/>
      <c r="DD64" s="70"/>
      <c r="DE64" s="70"/>
    </row>
    <row r="65" spans="1:109" ht="21" x14ac:dyDescent="0.4">
      <c r="A65" s="66"/>
      <c r="B65" s="66"/>
      <c r="C65" s="66"/>
      <c r="D65" s="61">
        <v>65</v>
      </c>
      <c r="E65" s="67">
        <v>0.81406000000000056</v>
      </c>
      <c r="F65" s="67">
        <v>0.82303000000000059</v>
      </c>
      <c r="G65" s="67">
        <v>0.83178000000000052</v>
      </c>
      <c r="H65" s="67">
        <v>0.84029000000000065</v>
      </c>
      <c r="I65" s="67">
        <v>0.84852000000000061</v>
      </c>
      <c r="J65" s="67">
        <v>0.85640000000000083</v>
      </c>
      <c r="K65" s="67">
        <v>0.8638700000000008</v>
      </c>
      <c r="L65" s="67">
        <v>0.8709200000000008</v>
      </c>
      <c r="M65" s="67">
        <v>0.87759000000000054</v>
      </c>
      <c r="N65" s="67">
        <v>0.88393000000000055</v>
      </c>
      <c r="O65" s="67">
        <v>0.89002000000000037</v>
      </c>
      <c r="P65" s="67">
        <v>0.89596000000000042</v>
      </c>
      <c r="Q65" s="67">
        <v>0.90188000000000046</v>
      </c>
      <c r="R65" s="67">
        <v>0.90789000000000064</v>
      </c>
      <c r="S65" s="67">
        <v>0.91418000000000044</v>
      </c>
      <c r="T65" s="67">
        <v>0.92093000000000069</v>
      </c>
      <c r="U65" s="67">
        <v>0.92834000000000061</v>
      </c>
      <c r="V65" s="67">
        <v>0.93652000000000069</v>
      </c>
      <c r="W65" s="67">
        <v>0.94540000000000068</v>
      </c>
      <c r="X65" s="68">
        <v>0.95468000000000075</v>
      </c>
      <c r="Y65" s="68">
        <v>0.9636700000000008</v>
      </c>
      <c r="Z65" s="68">
        <v>0.97087000000000068</v>
      </c>
      <c r="AA65" s="68">
        <v>1.0000000000000007</v>
      </c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0">
        <v>0.77981</v>
      </c>
      <c r="BG65" s="70">
        <v>0.79146000000000005</v>
      </c>
      <c r="BH65" s="70">
        <v>0.80286999999999997</v>
      </c>
      <c r="BI65" s="70">
        <v>0.81399999999999995</v>
      </c>
      <c r="BJ65" s="70">
        <v>0.82477999999999996</v>
      </c>
      <c r="BK65" s="70">
        <v>0.83513999999999999</v>
      </c>
      <c r="BL65" s="70">
        <v>0.84502999999999995</v>
      </c>
      <c r="BM65" s="70">
        <v>0.85441999999999996</v>
      </c>
      <c r="BN65" s="70">
        <v>0.86334</v>
      </c>
      <c r="BO65" s="70">
        <v>0.87182999999999999</v>
      </c>
      <c r="BP65" s="70">
        <v>0.87995999999999996</v>
      </c>
      <c r="BQ65" s="70">
        <v>0.88780000000000003</v>
      </c>
      <c r="BR65" s="70">
        <v>0.89546000000000003</v>
      </c>
      <c r="BS65" s="70">
        <v>0.90303999999999995</v>
      </c>
      <c r="BT65" s="70">
        <v>0.91069</v>
      </c>
      <c r="BU65" s="70">
        <v>0.91857</v>
      </c>
      <c r="BV65" s="70">
        <v>0.92686999999999997</v>
      </c>
      <c r="BW65" s="70">
        <v>0.93569000000000002</v>
      </c>
      <c r="BX65" s="70">
        <v>0.94499999999999995</v>
      </c>
      <c r="BY65" s="70">
        <v>0.95452999999999999</v>
      </c>
      <c r="BZ65" s="70">
        <v>0.96362999999999999</v>
      </c>
      <c r="CA65" s="70">
        <v>0.97087000000000001</v>
      </c>
      <c r="CB65" s="70">
        <v>1</v>
      </c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  <c r="DB65" s="70"/>
      <c r="DC65" s="70"/>
      <c r="DD65" s="70"/>
      <c r="DE65" s="70"/>
    </row>
    <row r="66" spans="1:109" ht="21" x14ac:dyDescent="0.4">
      <c r="A66" s="66"/>
      <c r="B66" s="66"/>
      <c r="C66" s="66"/>
      <c r="D66" s="61">
        <v>66</v>
      </c>
      <c r="E66" s="67">
        <v>0.82303000000000059</v>
      </c>
      <c r="F66" s="67">
        <v>0.83178000000000052</v>
      </c>
      <c r="G66" s="67">
        <v>0.84029000000000065</v>
      </c>
      <c r="H66" s="67">
        <v>0.84852000000000061</v>
      </c>
      <c r="I66" s="67">
        <v>0.85640000000000083</v>
      </c>
      <c r="J66" s="67">
        <v>0.8638700000000008</v>
      </c>
      <c r="K66" s="67">
        <v>0.8709200000000008</v>
      </c>
      <c r="L66" s="67">
        <v>0.87759000000000054</v>
      </c>
      <c r="M66" s="67">
        <v>0.88393000000000055</v>
      </c>
      <c r="N66" s="67">
        <v>0.89002000000000037</v>
      </c>
      <c r="O66" s="67">
        <v>0.89596000000000042</v>
      </c>
      <c r="P66" s="67">
        <v>0.90188000000000046</v>
      </c>
      <c r="Q66" s="67">
        <v>0.90789000000000064</v>
      </c>
      <c r="R66" s="67">
        <v>0.91418000000000044</v>
      </c>
      <c r="S66" s="67">
        <v>0.92093000000000069</v>
      </c>
      <c r="T66" s="67">
        <v>0.92834000000000028</v>
      </c>
      <c r="U66" s="67">
        <v>0.93652000000000035</v>
      </c>
      <c r="V66" s="67">
        <v>0.94540000000000024</v>
      </c>
      <c r="W66" s="67">
        <v>0.95468000000000031</v>
      </c>
      <c r="X66" s="68">
        <v>0.96367000000000036</v>
      </c>
      <c r="Y66" s="68">
        <v>0.97087000000000034</v>
      </c>
      <c r="Z66" s="68">
        <v>1.0000000000000004</v>
      </c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0">
        <v>0.79146000000000005</v>
      </c>
      <c r="BG66" s="70">
        <v>0.80286999999999997</v>
      </c>
      <c r="BH66" s="70">
        <v>0.81399999999999995</v>
      </c>
      <c r="BI66" s="70">
        <v>0.82477999999999996</v>
      </c>
      <c r="BJ66" s="70">
        <v>0.83513999999999999</v>
      </c>
      <c r="BK66" s="70">
        <v>0.84502999999999995</v>
      </c>
      <c r="BL66" s="70">
        <v>0.85441999999999996</v>
      </c>
      <c r="BM66" s="70">
        <v>0.86334</v>
      </c>
      <c r="BN66" s="70">
        <v>0.87182999999999999</v>
      </c>
      <c r="BO66" s="70">
        <v>0.87995999999999996</v>
      </c>
      <c r="BP66" s="70">
        <v>0.88780000000000003</v>
      </c>
      <c r="BQ66" s="70">
        <v>0.89546000000000003</v>
      </c>
      <c r="BR66" s="70">
        <v>0.90303999999999995</v>
      </c>
      <c r="BS66" s="70">
        <v>0.91069</v>
      </c>
      <c r="BT66" s="70">
        <v>0.91857</v>
      </c>
      <c r="BU66" s="70">
        <v>0.92686999999999997</v>
      </c>
      <c r="BV66" s="70">
        <v>0.93569000000000002</v>
      </c>
      <c r="BW66" s="70">
        <v>0.94499999999999995</v>
      </c>
      <c r="BX66" s="70">
        <v>0.95452999999999999</v>
      </c>
      <c r="BY66" s="70">
        <v>0.96362999999999999</v>
      </c>
      <c r="BZ66" s="70">
        <v>0.97087000000000001</v>
      </c>
      <c r="CA66" s="70">
        <v>1</v>
      </c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  <c r="DB66" s="70"/>
      <c r="DC66" s="70"/>
      <c r="DD66" s="70"/>
      <c r="DE66" s="70"/>
    </row>
    <row r="67" spans="1:109" ht="21" x14ac:dyDescent="0.4">
      <c r="A67" s="66"/>
      <c r="B67" s="66"/>
      <c r="C67" s="66"/>
      <c r="D67" s="61">
        <v>67</v>
      </c>
      <c r="E67" s="67">
        <v>0.83178000000000052</v>
      </c>
      <c r="F67" s="67">
        <v>0.84029000000000065</v>
      </c>
      <c r="G67" s="67">
        <v>0.84852000000000061</v>
      </c>
      <c r="H67" s="67">
        <v>0.85640000000000083</v>
      </c>
      <c r="I67" s="67">
        <v>0.8638700000000008</v>
      </c>
      <c r="J67" s="67">
        <v>0.8709200000000008</v>
      </c>
      <c r="K67" s="67">
        <v>0.87759000000000054</v>
      </c>
      <c r="L67" s="67">
        <v>0.88393000000000055</v>
      </c>
      <c r="M67" s="67">
        <v>0.89002000000000037</v>
      </c>
      <c r="N67" s="67">
        <v>0.89596000000000042</v>
      </c>
      <c r="O67" s="67">
        <v>0.90188000000000046</v>
      </c>
      <c r="P67" s="67">
        <v>0.90789000000000064</v>
      </c>
      <c r="Q67" s="67">
        <v>0.91418000000000044</v>
      </c>
      <c r="R67" s="67">
        <v>0.92093000000000069</v>
      </c>
      <c r="S67" s="67">
        <v>0.92834000000000028</v>
      </c>
      <c r="T67" s="67">
        <v>0.93652000000000035</v>
      </c>
      <c r="U67" s="67">
        <v>0.94540000000000035</v>
      </c>
      <c r="V67" s="67">
        <v>0.95468000000000042</v>
      </c>
      <c r="W67" s="67">
        <v>0.96367000000000036</v>
      </c>
      <c r="X67" s="68">
        <v>0.97087000000000045</v>
      </c>
      <c r="Y67" s="68">
        <v>1.0000000000000004</v>
      </c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0">
        <v>0.80286999999999997</v>
      </c>
      <c r="BG67" s="70">
        <v>0.81399999999999995</v>
      </c>
      <c r="BH67" s="70">
        <v>0.82477999999999996</v>
      </c>
      <c r="BI67" s="70">
        <v>0.83513999999999999</v>
      </c>
      <c r="BJ67" s="70">
        <v>0.84502999999999995</v>
      </c>
      <c r="BK67" s="70">
        <v>0.85441999999999996</v>
      </c>
      <c r="BL67" s="70">
        <v>0.86334</v>
      </c>
      <c r="BM67" s="70">
        <v>0.87182999999999999</v>
      </c>
      <c r="BN67" s="70">
        <v>0.87995999999999996</v>
      </c>
      <c r="BO67" s="70">
        <v>0.88780000000000003</v>
      </c>
      <c r="BP67" s="70">
        <v>0.89546000000000003</v>
      </c>
      <c r="BQ67" s="70">
        <v>0.90303999999999995</v>
      </c>
      <c r="BR67" s="70">
        <v>0.91069</v>
      </c>
      <c r="BS67" s="70">
        <v>0.91857</v>
      </c>
      <c r="BT67" s="70">
        <v>0.92686999999999997</v>
      </c>
      <c r="BU67" s="70">
        <v>0.93569000000000002</v>
      </c>
      <c r="BV67" s="70">
        <v>0.94499999999999995</v>
      </c>
      <c r="BW67" s="70">
        <v>0.95452999999999999</v>
      </c>
      <c r="BX67" s="70">
        <v>0.96362999999999999</v>
      </c>
      <c r="BY67" s="70">
        <v>0.97087000000000001</v>
      </c>
      <c r="BZ67" s="70">
        <v>1</v>
      </c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0"/>
      <c r="DC67" s="70"/>
      <c r="DD67" s="70"/>
      <c r="DE67" s="70"/>
    </row>
    <row r="68" spans="1:109" ht="21" x14ac:dyDescent="0.4">
      <c r="A68" s="66"/>
      <c r="B68" s="66"/>
      <c r="C68" s="66"/>
      <c r="D68" s="61">
        <v>68</v>
      </c>
      <c r="E68" s="67">
        <v>0.84029000000000065</v>
      </c>
      <c r="F68" s="67">
        <v>0.84852000000000061</v>
      </c>
      <c r="G68" s="67">
        <v>0.85640000000000083</v>
      </c>
      <c r="H68" s="67">
        <v>0.8638700000000008</v>
      </c>
      <c r="I68" s="67">
        <v>0.8709200000000008</v>
      </c>
      <c r="J68" s="67">
        <v>0.87759000000000054</v>
      </c>
      <c r="K68" s="67">
        <v>0.88393000000000055</v>
      </c>
      <c r="L68" s="67">
        <v>0.89002000000000037</v>
      </c>
      <c r="M68" s="67">
        <v>0.89596000000000042</v>
      </c>
      <c r="N68" s="67">
        <v>0.90188000000000046</v>
      </c>
      <c r="O68" s="67">
        <v>0.90789000000000064</v>
      </c>
      <c r="P68" s="67">
        <v>0.91418000000000044</v>
      </c>
      <c r="Q68" s="67">
        <v>0.92093000000000069</v>
      </c>
      <c r="R68" s="67">
        <v>0.92834000000000028</v>
      </c>
      <c r="S68" s="67">
        <v>0.93652000000000035</v>
      </c>
      <c r="T68" s="67">
        <v>0.94540000000000046</v>
      </c>
      <c r="U68" s="67">
        <v>0.95468000000000031</v>
      </c>
      <c r="V68" s="67">
        <v>0.96367000000000036</v>
      </c>
      <c r="W68" s="67">
        <v>0.97087000000000034</v>
      </c>
      <c r="X68" s="68">
        <v>1.0000000000000004</v>
      </c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0">
        <v>0.81399999999999995</v>
      </c>
      <c r="BG68" s="70">
        <v>0.82477999999999996</v>
      </c>
      <c r="BH68" s="70">
        <v>0.83513999999999999</v>
      </c>
      <c r="BI68" s="70">
        <v>0.84502999999999995</v>
      </c>
      <c r="BJ68" s="70">
        <v>0.85441999999999996</v>
      </c>
      <c r="BK68" s="70">
        <v>0.86334</v>
      </c>
      <c r="BL68" s="70">
        <v>0.87182999999999999</v>
      </c>
      <c r="BM68" s="70">
        <v>0.87995999999999996</v>
      </c>
      <c r="BN68" s="70">
        <v>0.88780000000000003</v>
      </c>
      <c r="BO68" s="70">
        <v>0.89546000000000003</v>
      </c>
      <c r="BP68" s="70">
        <v>0.90303999999999995</v>
      </c>
      <c r="BQ68" s="70">
        <v>0.91069</v>
      </c>
      <c r="BR68" s="70">
        <v>0.91857</v>
      </c>
      <c r="BS68" s="70">
        <v>0.92686999999999997</v>
      </c>
      <c r="BT68" s="70">
        <v>0.93569000000000002</v>
      </c>
      <c r="BU68" s="70">
        <v>0.94499999999999995</v>
      </c>
      <c r="BV68" s="70">
        <v>0.95452999999999999</v>
      </c>
      <c r="BW68" s="70">
        <v>0.96362999999999999</v>
      </c>
      <c r="BX68" s="70">
        <v>0.97087000000000001</v>
      </c>
      <c r="BY68" s="70">
        <v>1</v>
      </c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0"/>
      <c r="DC68" s="70"/>
      <c r="DD68" s="70"/>
      <c r="DE68" s="70"/>
    </row>
    <row r="69" spans="1:109" ht="21" x14ac:dyDescent="0.4">
      <c r="A69" s="66"/>
      <c r="B69" s="66"/>
      <c r="C69" s="66"/>
      <c r="D69" s="61">
        <v>69</v>
      </c>
      <c r="E69" s="67">
        <v>0.84852000000000061</v>
      </c>
      <c r="F69" s="67">
        <v>0.85640000000000083</v>
      </c>
      <c r="G69" s="67">
        <v>0.8638700000000008</v>
      </c>
      <c r="H69" s="67">
        <v>0.8709200000000008</v>
      </c>
      <c r="I69" s="67">
        <v>0.87759000000000054</v>
      </c>
      <c r="J69" s="67">
        <v>0.88393000000000055</v>
      </c>
      <c r="K69" s="67">
        <v>0.89002000000000037</v>
      </c>
      <c r="L69" s="67">
        <v>0.89596000000000042</v>
      </c>
      <c r="M69" s="67">
        <v>0.90188000000000046</v>
      </c>
      <c r="N69" s="67">
        <v>0.90789000000000064</v>
      </c>
      <c r="O69" s="67">
        <v>0.91418000000000044</v>
      </c>
      <c r="P69" s="67">
        <v>0.92093000000000069</v>
      </c>
      <c r="Q69" s="67">
        <v>0.92834000000000028</v>
      </c>
      <c r="R69" s="67">
        <v>0.93652000000000035</v>
      </c>
      <c r="S69" s="67">
        <v>0.94540000000000046</v>
      </c>
      <c r="T69" s="67">
        <v>0.95468000000000053</v>
      </c>
      <c r="U69" s="67">
        <v>0.96367000000000058</v>
      </c>
      <c r="V69" s="67">
        <v>0.97087000000000045</v>
      </c>
      <c r="W69" s="67">
        <v>1.0000000000000007</v>
      </c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70">
        <v>0.82477999999999996</v>
      </c>
      <c r="BG69" s="70">
        <v>0.83513999999999999</v>
      </c>
      <c r="BH69" s="70">
        <v>0.84502999999999995</v>
      </c>
      <c r="BI69" s="70">
        <v>0.85441999999999996</v>
      </c>
      <c r="BJ69" s="70">
        <v>0.86334</v>
      </c>
      <c r="BK69" s="70">
        <v>0.87182999999999999</v>
      </c>
      <c r="BL69" s="70">
        <v>0.87995999999999996</v>
      </c>
      <c r="BM69" s="70">
        <v>0.88780000000000003</v>
      </c>
      <c r="BN69" s="70">
        <v>0.89546000000000003</v>
      </c>
      <c r="BO69" s="70">
        <v>0.90303999999999995</v>
      </c>
      <c r="BP69" s="70">
        <v>0.91069</v>
      </c>
      <c r="BQ69" s="70">
        <v>0.91857</v>
      </c>
      <c r="BR69" s="70">
        <v>0.92686999999999997</v>
      </c>
      <c r="BS69" s="70">
        <v>0.93569000000000002</v>
      </c>
      <c r="BT69" s="70">
        <v>0.94499999999999995</v>
      </c>
      <c r="BU69" s="70">
        <v>0.95452999999999999</v>
      </c>
      <c r="BV69" s="70">
        <v>0.96362999999999999</v>
      </c>
      <c r="BW69" s="70">
        <v>0.97087000000000001</v>
      </c>
      <c r="BX69" s="70">
        <v>1</v>
      </c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  <c r="DB69" s="70"/>
      <c r="DC69" s="70"/>
      <c r="DD69" s="70"/>
      <c r="DE69" s="70"/>
    </row>
    <row r="70" spans="1:109" ht="21" x14ac:dyDescent="0.4">
      <c r="A70" s="66"/>
      <c r="B70" s="66"/>
      <c r="C70" s="66"/>
      <c r="D70" s="61">
        <v>70</v>
      </c>
      <c r="E70" s="67">
        <v>0.85640000000000083</v>
      </c>
      <c r="F70" s="67">
        <v>0.8638700000000008</v>
      </c>
      <c r="G70" s="67">
        <v>0.8709200000000008</v>
      </c>
      <c r="H70" s="67">
        <v>0.87759000000000054</v>
      </c>
      <c r="I70" s="67">
        <v>0.88393000000000055</v>
      </c>
      <c r="J70" s="67">
        <v>0.89002000000000037</v>
      </c>
      <c r="K70" s="67">
        <v>0.89596000000000042</v>
      </c>
      <c r="L70" s="67">
        <v>0.90188000000000046</v>
      </c>
      <c r="M70" s="67">
        <v>0.90789000000000064</v>
      </c>
      <c r="N70" s="67">
        <v>0.91418000000000044</v>
      </c>
      <c r="O70" s="67">
        <v>0.92093000000000069</v>
      </c>
      <c r="P70" s="67">
        <v>0.92834000000000028</v>
      </c>
      <c r="Q70" s="67">
        <v>0.93652000000000035</v>
      </c>
      <c r="R70" s="67">
        <v>0.94540000000000046</v>
      </c>
      <c r="S70" s="67">
        <v>0.95468000000000053</v>
      </c>
      <c r="T70" s="67">
        <v>0.96367000000000058</v>
      </c>
      <c r="U70" s="67">
        <v>0.97087000000000068</v>
      </c>
      <c r="V70" s="67">
        <v>1.0000000000000007</v>
      </c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70">
        <v>0.83513999999999999</v>
      </c>
      <c r="BG70" s="70">
        <v>0.84502999999999995</v>
      </c>
      <c r="BH70" s="70">
        <v>0.85441999999999996</v>
      </c>
      <c r="BI70" s="70">
        <v>0.86334</v>
      </c>
      <c r="BJ70" s="70">
        <v>0.87182999999999999</v>
      </c>
      <c r="BK70" s="70">
        <v>0.87995999999999996</v>
      </c>
      <c r="BL70" s="70">
        <v>0.88780000000000003</v>
      </c>
      <c r="BM70" s="70">
        <v>0.89546000000000003</v>
      </c>
      <c r="BN70" s="70">
        <v>0.90303999999999995</v>
      </c>
      <c r="BO70" s="70">
        <v>0.91069</v>
      </c>
      <c r="BP70" s="70">
        <v>0.91857</v>
      </c>
      <c r="BQ70" s="70">
        <v>0.92686999999999997</v>
      </c>
      <c r="BR70" s="70">
        <v>0.93569000000000002</v>
      </c>
      <c r="BS70" s="70">
        <v>0.94499999999999995</v>
      </c>
      <c r="BT70" s="70">
        <v>0.95452999999999999</v>
      </c>
      <c r="BU70" s="70">
        <v>0.96362999999999999</v>
      </c>
      <c r="BV70" s="70">
        <v>0.97087000000000001</v>
      </c>
      <c r="BW70" s="70">
        <v>1</v>
      </c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  <c r="DB70" s="70"/>
      <c r="DC70" s="70"/>
      <c r="DD70" s="70"/>
      <c r="DE70" s="70"/>
    </row>
    <row r="71" spans="1:109" ht="21" x14ac:dyDescent="0.4">
      <c r="A71" s="66"/>
      <c r="B71" s="66"/>
      <c r="C71" s="66"/>
      <c r="D71" s="61">
        <v>71</v>
      </c>
      <c r="E71" s="67">
        <v>0.8638700000000008</v>
      </c>
      <c r="F71" s="67">
        <v>0.8709200000000008</v>
      </c>
      <c r="G71" s="67">
        <v>0.87759000000000054</v>
      </c>
      <c r="H71" s="67">
        <v>0.88393000000000055</v>
      </c>
      <c r="I71" s="67">
        <v>0.89002000000000037</v>
      </c>
      <c r="J71" s="67">
        <v>0.89596000000000042</v>
      </c>
      <c r="K71" s="67">
        <v>0.90188000000000046</v>
      </c>
      <c r="L71" s="67">
        <v>0.90789000000000064</v>
      </c>
      <c r="M71" s="67">
        <v>0.91418000000000044</v>
      </c>
      <c r="N71" s="67">
        <v>0.92093000000000069</v>
      </c>
      <c r="O71" s="67">
        <v>0.92834000000000028</v>
      </c>
      <c r="P71" s="67">
        <v>0.93652000000000035</v>
      </c>
      <c r="Q71" s="67">
        <v>0.94540000000000046</v>
      </c>
      <c r="R71" s="67">
        <v>0.95468000000000053</v>
      </c>
      <c r="S71" s="67">
        <v>0.96367000000000058</v>
      </c>
      <c r="T71" s="67">
        <v>0.97087000000000068</v>
      </c>
      <c r="U71" s="67">
        <v>1.0000000000000004</v>
      </c>
      <c r="V71" s="72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70">
        <v>0.84502999999999995</v>
      </c>
      <c r="BG71" s="70">
        <v>0.85441999999999996</v>
      </c>
      <c r="BH71" s="70">
        <v>0.86334</v>
      </c>
      <c r="BI71" s="70">
        <v>0.87182999999999999</v>
      </c>
      <c r="BJ71" s="70">
        <v>0.87995999999999996</v>
      </c>
      <c r="BK71" s="70">
        <v>0.88780000000000003</v>
      </c>
      <c r="BL71" s="70">
        <v>0.89546000000000003</v>
      </c>
      <c r="BM71" s="70">
        <v>0.90303999999999995</v>
      </c>
      <c r="BN71" s="70">
        <v>0.91069</v>
      </c>
      <c r="BO71" s="70">
        <v>0.91857</v>
      </c>
      <c r="BP71" s="70">
        <v>0.92686999999999997</v>
      </c>
      <c r="BQ71" s="70">
        <v>0.93569000000000002</v>
      </c>
      <c r="BR71" s="70">
        <v>0.94499999999999995</v>
      </c>
      <c r="BS71" s="70">
        <v>0.95452999999999999</v>
      </c>
      <c r="BT71" s="70">
        <v>0.96362999999999999</v>
      </c>
      <c r="BU71" s="70">
        <v>0.97087000000000001</v>
      </c>
      <c r="BV71" s="70">
        <v>1</v>
      </c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  <c r="DB71" s="70"/>
      <c r="DC71" s="70"/>
      <c r="DD71" s="70"/>
      <c r="DE71" s="70"/>
    </row>
    <row r="72" spans="1:109" ht="21" x14ac:dyDescent="0.4">
      <c r="A72" s="66"/>
      <c r="B72" s="66"/>
      <c r="C72" s="66"/>
      <c r="D72" s="61">
        <v>72</v>
      </c>
      <c r="E72" s="67">
        <v>0.8709200000000008</v>
      </c>
      <c r="F72" s="67">
        <v>0.87759000000000054</v>
      </c>
      <c r="G72" s="67">
        <v>0.88393000000000055</v>
      </c>
      <c r="H72" s="67">
        <v>0.89002000000000037</v>
      </c>
      <c r="I72" s="67">
        <v>0.89596000000000042</v>
      </c>
      <c r="J72" s="67">
        <v>0.90188000000000046</v>
      </c>
      <c r="K72" s="67">
        <v>0.90789000000000064</v>
      </c>
      <c r="L72" s="67">
        <v>0.91418000000000044</v>
      </c>
      <c r="M72" s="67">
        <v>0.92093000000000069</v>
      </c>
      <c r="N72" s="67">
        <v>0.92834000000000028</v>
      </c>
      <c r="O72" s="67">
        <v>0.93652000000000035</v>
      </c>
      <c r="P72" s="67">
        <v>0.94540000000000046</v>
      </c>
      <c r="Q72" s="67">
        <v>0.95468000000000053</v>
      </c>
      <c r="R72" s="67">
        <v>0.96367000000000058</v>
      </c>
      <c r="S72" s="67">
        <v>0.97087000000000068</v>
      </c>
      <c r="T72" s="67">
        <v>1.0000000000000004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70">
        <v>0.85441999999999996</v>
      </c>
      <c r="BG72" s="70">
        <v>0.86334</v>
      </c>
      <c r="BH72" s="70">
        <v>0.87182999999999999</v>
      </c>
      <c r="BI72" s="70">
        <v>0.87995999999999996</v>
      </c>
      <c r="BJ72" s="70">
        <v>0.88780000000000003</v>
      </c>
      <c r="BK72" s="70">
        <v>0.89546000000000003</v>
      </c>
      <c r="BL72" s="70">
        <v>0.90303999999999995</v>
      </c>
      <c r="BM72" s="70">
        <v>0.91069</v>
      </c>
      <c r="BN72" s="70">
        <v>0.91857</v>
      </c>
      <c r="BO72" s="70">
        <v>0.92686999999999997</v>
      </c>
      <c r="BP72" s="70">
        <v>0.93569000000000002</v>
      </c>
      <c r="BQ72" s="70">
        <v>0.94499999999999995</v>
      </c>
      <c r="BR72" s="70">
        <v>0.95452999999999999</v>
      </c>
      <c r="BS72" s="70">
        <v>0.96362999999999999</v>
      </c>
      <c r="BT72" s="70">
        <v>0.97087000000000001</v>
      </c>
      <c r="BU72" s="70">
        <v>1</v>
      </c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  <c r="DB72" s="70"/>
      <c r="DC72" s="70"/>
      <c r="DD72" s="70"/>
      <c r="DE72" s="70"/>
    </row>
    <row r="73" spans="1:109" ht="21" x14ac:dyDescent="0.4">
      <c r="A73" s="66"/>
      <c r="B73" s="66"/>
      <c r="C73" s="66"/>
      <c r="D73" s="61">
        <v>73</v>
      </c>
      <c r="E73" s="67">
        <v>0.87759000000000054</v>
      </c>
      <c r="F73" s="67">
        <v>0.88393000000000055</v>
      </c>
      <c r="G73" s="67">
        <v>0.89002000000000037</v>
      </c>
      <c r="H73" s="67">
        <v>0.89596000000000042</v>
      </c>
      <c r="I73" s="67">
        <v>0.90188000000000046</v>
      </c>
      <c r="J73" s="67">
        <v>0.90789000000000064</v>
      </c>
      <c r="K73" s="67">
        <v>0.91418000000000044</v>
      </c>
      <c r="L73" s="67">
        <v>0.92093000000000069</v>
      </c>
      <c r="M73" s="67">
        <v>0.92834000000000028</v>
      </c>
      <c r="N73" s="67">
        <v>0.93652000000000035</v>
      </c>
      <c r="O73" s="67">
        <v>0.94540000000000046</v>
      </c>
      <c r="P73" s="67">
        <v>0.95468000000000053</v>
      </c>
      <c r="Q73" s="67">
        <v>0.96367000000000058</v>
      </c>
      <c r="R73" s="67">
        <v>0.97087000000000068</v>
      </c>
      <c r="S73" s="67">
        <v>1.0000000000000004</v>
      </c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70">
        <v>0.86334</v>
      </c>
      <c r="BG73" s="70">
        <v>0.87182999999999999</v>
      </c>
      <c r="BH73" s="70">
        <v>0.87995999999999996</v>
      </c>
      <c r="BI73" s="70">
        <v>0.88780000000000003</v>
      </c>
      <c r="BJ73" s="70">
        <v>0.89546000000000003</v>
      </c>
      <c r="BK73" s="70">
        <v>0.90303999999999995</v>
      </c>
      <c r="BL73" s="70">
        <v>0.91069</v>
      </c>
      <c r="BM73" s="70">
        <v>0.91857</v>
      </c>
      <c r="BN73" s="70">
        <v>0.92686999999999997</v>
      </c>
      <c r="BO73" s="70">
        <v>0.93569000000000002</v>
      </c>
      <c r="BP73" s="70">
        <v>0.94499999999999995</v>
      </c>
      <c r="BQ73" s="70">
        <v>0.95452999999999999</v>
      </c>
      <c r="BR73" s="70">
        <v>0.96362999999999999</v>
      </c>
      <c r="BS73" s="70">
        <v>0.97087000000000001</v>
      </c>
      <c r="BT73" s="70">
        <v>1</v>
      </c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</row>
    <row r="74" spans="1:109" ht="21" x14ac:dyDescent="0.4">
      <c r="A74" s="66"/>
      <c r="B74" s="66"/>
      <c r="C74" s="66"/>
      <c r="D74" s="61">
        <v>74</v>
      </c>
      <c r="E74" s="67">
        <v>0.88393000000000055</v>
      </c>
      <c r="F74" s="67">
        <v>0.89002000000000037</v>
      </c>
      <c r="G74" s="67">
        <v>0.89596000000000042</v>
      </c>
      <c r="H74" s="67">
        <v>0.90188000000000046</v>
      </c>
      <c r="I74" s="67">
        <v>0.90789000000000064</v>
      </c>
      <c r="J74" s="67">
        <v>0.91418000000000044</v>
      </c>
      <c r="K74" s="67">
        <v>0.92093000000000069</v>
      </c>
      <c r="L74" s="67">
        <v>0.92834000000000028</v>
      </c>
      <c r="M74" s="67">
        <v>0.93652000000000035</v>
      </c>
      <c r="N74" s="67">
        <v>0.94540000000000046</v>
      </c>
      <c r="O74" s="67">
        <v>0.95468000000000053</v>
      </c>
      <c r="P74" s="67">
        <v>0.96367000000000058</v>
      </c>
      <c r="Q74" s="67">
        <v>0.97087000000000068</v>
      </c>
      <c r="R74" s="67">
        <v>1.0000000000000004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70">
        <v>0.87182999999999999</v>
      </c>
      <c r="BG74" s="70">
        <v>0.87995999999999996</v>
      </c>
      <c r="BH74" s="70">
        <v>0.88780000000000003</v>
      </c>
      <c r="BI74" s="70">
        <v>0.89546000000000003</v>
      </c>
      <c r="BJ74" s="70">
        <v>0.90303999999999995</v>
      </c>
      <c r="BK74" s="70">
        <v>0.91069</v>
      </c>
      <c r="BL74" s="70">
        <v>0.91857</v>
      </c>
      <c r="BM74" s="70">
        <v>0.92686999999999997</v>
      </c>
      <c r="BN74" s="70">
        <v>0.93569000000000002</v>
      </c>
      <c r="BO74" s="70">
        <v>0.94499999999999995</v>
      </c>
      <c r="BP74" s="70">
        <v>0.95452999999999999</v>
      </c>
      <c r="BQ74" s="70">
        <v>0.96362999999999999</v>
      </c>
      <c r="BR74" s="70">
        <v>0.97087000000000001</v>
      </c>
      <c r="BS74" s="70">
        <v>1</v>
      </c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</row>
    <row r="75" spans="1:109" ht="21" x14ac:dyDescent="0.4">
      <c r="A75" s="66"/>
      <c r="B75" s="66"/>
      <c r="C75" s="66"/>
      <c r="D75" s="61">
        <v>75</v>
      </c>
      <c r="E75" s="67">
        <v>0.89002000000000037</v>
      </c>
      <c r="F75" s="67">
        <v>0.89596000000000042</v>
      </c>
      <c r="G75" s="67">
        <v>0.90188000000000046</v>
      </c>
      <c r="H75" s="67">
        <v>0.90789000000000064</v>
      </c>
      <c r="I75" s="67">
        <v>0.91418000000000044</v>
      </c>
      <c r="J75" s="67">
        <v>0.92093000000000069</v>
      </c>
      <c r="K75" s="67">
        <v>0.92834000000000028</v>
      </c>
      <c r="L75" s="67">
        <v>0.93652000000000035</v>
      </c>
      <c r="M75" s="67">
        <v>0.94540000000000046</v>
      </c>
      <c r="N75" s="67">
        <v>0.95468000000000053</v>
      </c>
      <c r="O75" s="67">
        <v>0.96367000000000058</v>
      </c>
      <c r="P75" s="67">
        <v>0.97087000000000068</v>
      </c>
      <c r="Q75" s="67">
        <v>1.0000000000000004</v>
      </c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70">
        <v>0.87995999999999996</v>
      </c>
      <c r="BG75" s="70">
        <v>0.88780000000000003</v>
      </c>
      <c r="BH75" s="70">
        <v>0.89546000000000003</v>
      </c>
      <c r="BI75" s="70">
        <v>0.90303999999999995</v>
      </c>
      <c r="BJ75" s="70">
        <v>0.91069</v>
      </c>
      <c r="BK75" s="70">
        <v>0.91857</v>
      </c>
      <c r="BL75" s="70">
        <v>0.92686999999999997</v>
      </c>
      <c r="BM75" s="70">
        <v>0.93569000000000002</v>
      </c>
      <c r="BN75" s="70">
        <v>0.94499999999999995</v>
      </c>
      <c r="BO75" s="70">
        <v>0.95452999999999999</v>
      </c>
      <c r="BP75" s="70">
        <v>0.96362999999999999</v>
      </c>
      <c r="BQ75" s="70">
        <v>0.97087000000000001</v>
      </c>
      <c r="BR75" s="70">
        <v>1</v>
      </c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</row>
    <row r="76" spans="1:109" ht="21" x14ac:dyDescent="0.4">
      <c r="A76" s="66"/>
      <c r="B76" s="66"/>
      <c r="C76" s="66"/>
      <c r="D76" s="61">
        <v>76</v>
      </c>
      <c r="E76" s="67">
        <v>0.89596000000000042</v>
      </c>
      <c r="F76" s="67">
        <v>0.90188000000000046</v>
      </c>
      <c r="G76" s="67">
        <v>0.90789000000000064</v>
      </c>
      <c r="H76" s="67">
        <v>0.91418000000000044</v>
      </c>
      <c r="I76" s="67">
        <v>0.92093000000000069</v>
      </c>
      <c r="J76" s="67">
        <v>0.92834000000000028</v>
      </c>
      <c r="K76" s="67">
        <v>0.93652000000000035</v>
      </c>
      <c r="L76" s="67">
        <v>0.94540000000000046</v>
      </c>
      <c r="M76" s="67">
        <v>0.95468000000000053</v>
      </c>
      <c r="N76" s="67">
        <v>0.96367000000000058</v>
      </c>
      <c r="O76" s="67">
        <v>0.97087000000000068</v>
      </c>
      <c r="P76" s="67">
        <v>1.0000000000000004</v>
      </c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70">
        <v>0.88780000000000003</v>
      </c>
      <c r="BG76" s="70">
        <v>0.89546000000000003</v>
      </c>
      <c r="BH76" s="70">
        <v>0.90303999999999995</v>
      </c>
      <c r="BI76" s="70">
        <v>0.91069</v>
      </c>
      <c r="BJ76" s="70">
        <v>0.91857</v>
      </c>
      <c r="BK76" s="70">
        <v>0.92686999999999997</v>
      </c>
      <c r="BL76" s="70">
        <v>0.93569000000000002</v>
      </c>
      <c r="BM76" s="70">
        <v>0.94499999999999995</v>
      </c>
      <c r="BN76" s="70">
        <v>0.95452999999999999</v>
      </c>
      <c r="BO76" s="70">
        <v>0.96362999999999999</v>
      </c>
      <c r="BP76" s="70">
        <v>0.97087000000000001</v>
      </c>
      <c r="BQ76" s="70">
        <v>1</v>
      </c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</row>
    <row r="77" spans="1:109" ht="21" x14ac:dyDescent="0.4">
      <c r="A77" s="66"/>
      <c r="B77" s="66"/>
      <c r="C77" s="66"/>
      <c r="D77" s="61">
        <v>77</v>
      </c>
      <c r="E77" s="67">
        <v>0.90188000000000046</v>
      </c>
      <c r="F77" s="67">
        <v>0.90789000000000064</v>
      </c>
      <c r="G77" s="67">
        <v>0.91418000000000044</v>
      </c>
      <c r="H77" s="67">
        <v>0.92093000000000069</v>
      </c>
      <c r="I77" s="67">
        <v>0.92834000000000028</v>
      </c>
      <c r="J77" s="67">
        <v>0.93652000000000035</v>
      </c>
      <c r="K77" s="67">
        <v>0.94540000000000046</v>
      </c>
      <c r="L77" s="67">
        <v>0.95468000000000053</v>
      </c>
      <c r="M77" s="67">
        <v>0.96367000000000058</v>
      </c>
      <c r="N77" s="67">
        <v>0.97087000000000068</v>
      </c>
      <c r="O77" s="67">
        <v>1.0000000000000004</v>
      </c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70">
        <v>0.89546000000000003</v>
      </c>
      <c r="BG77" s="70">
        <v>0.90303999999999995</v>
      </c>
      <c r="BH77" s="70">
        <v>0.91069</v>
      </c>
      <c r="BI77" s="70">
        <v>0.91857</v>
      </c>
      <c r="BJ77" s="70">
        <v>0.92686999999999997</v>
      </c>
      <c r="BK77" s="70">
        <v>0.93569000000000002</v>
      </c>
      <c r="BL77" s="70">
        <v>0.94499999999999995</v>
      </c>
      <c r="BM77" s="70">
        <v>0.95452999999999999</v>
      </c>
      <c r="BN77" s="70">
        <v>0.96362999999999999</v>
      </c>
      <c r="BO77" s="70">
        <v>0.97087000000000001</v>
      </c>
      <c r="BP77" s="70">
        <v>1</v>
      </c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</row>
    <row r="78" spans="1:109" ht="21" x14ac:dyDescent="0.4">
      <c r="A78" s="66"/>
      <c r="B78" s="66"/>
      <c r="C78" s="66"/>
      <c r="D78" s="61">
        <v>78</v>
      </c>
      <c r="E78" s="67">
        <v>0.90789000000000064</v>
      </c>
      <c r="F78" s="67">
        <v>0.91418000000000044</v>
      </c>
      <c r="G78" s="67">
        <v>0.92093000000000069</v>
      </c>
      <c r="H78" s="67">
        <v>0.92834000000000028</v>
      </c>
      <c r="I78" s="67">
        <v>0.93652000000000035</v>
      </c>
      <c r="J78" s="67">
        <v>0.94540000000000046</v>
      </c>
      <c r="K78" s="67">
        <v>0.95468000000000053</v>
      </c>
      <c r="L78" s="67">
        <v>0.96367000000000058</v>
      </c>
      <c r="M78" s="67">
        <v>0.97087000000000068</v>
      </c>
      <c r="N78" s="67">
        <v>1.0000000000000004</v>
      </c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70">
        <v>0.90303999999999995</v>
      </c>
      <c r="BG78" s="70">
        <v>0.91069</v>
      </c>
      <c r="BH78" s="70">
        <v>0.91857</v>
      </c>
      <c r="BI78" s="70">
        <v>0.92686999999999997</v>
      </c>
      <c r="BJ78" s="70">
        <v>0.93569000000000002</v>
      </c>
      <c r="BK78" s="70">
        <v>0.94499999999999995</v>
      </c>
      <c r="BL78" s="70">
        <v>0.95452999999999999</v>
      </c>
      <c r="BM78" s="70">
        <v>0.96362999999999999</v>
      </c>
      <c r="BN78" s="70">
        <v>0.97087000000000001</v>
      </c>
      <c r="BO78" s="70">
        <v>1</v>
      </c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</row>
    <row r="79" spans="1:109" ht="21" x14ac:dyDescent="0.4">
      <c r="A79" s="66"/>
      <c r="B79" s="66"/>
      <c r="C79" s="66"/>
      <c r="D79" s="61">
        <v>79</v>
      </c>
      <c r="E79" s="67">
        <v>0.91418000000000044</v>
      </c>
      <c r="F79" s="67">
        <v>0.92093000000000069</v>
      </c>
      <c r="G79" s="67">
        <v>0.92834000000000028</v>
      </c>
      <c r="H79" s="67">
        <v>0.93652000000000035</v>
      </c>
      <c r="I79" s="67">
        <v>0.94540000000000046</v>
      </c>
      <c r="J79" s="67">
        <v>0.95468000000000053</v>
      </c>
      <c r="K79" s="67">
        <v>0.96367000000000058</v>
      </c>
      <c r="L79" s="67">
        <v>0.97087000000000068</v>
      </c>
      <c r="M79" s="67">
        <v>1.0000000000000004</v>
      </c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70">
        <v>0.91069</v>
      </c>
      <c r="BG79" s="70">
        <v>0.91857</v>
      </c>
      <c r="BH79" s="70">
        <v>0.92686999999999997</v>
      </c>
      <c r="BI79" s="70">
        <v>0.93569000000000002</v>
      </c>
      <c r="BJ79" s="70">
        <v>0.94499999999999995</v>
      </c>
      <c r="BK79" s="70">
        <v>0.95452999999999999</v>
      </c>
      <c r="BL79" s="70">
        <v>0.96362999999999999</v>
      </c>
      <c r="BM79" s="70">
        <v>0.97087000000000001</v>
      </c>
      <c r="BN79" s="70">
        <v>1</v>
      </c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</row>
    <row r="80" spans="1:109" ht="21" x14ac:dyDescent="0.4">
      <c r="A80" s="66"/>
      <c r="B80" s="66"/>
      <c r="C80" s="66"/>
      <c r="D80" s="61">
        <v>80</v>
      </c>
      <c r="E80" s="67">
        <v>0.92093000000000069</v>
      </c>
      <c r="F80" s="67">
        <v>0.92834000000000028</v>
      </c>
      <c r="G80" s="67">
        <v>0.93652000000000035</v>
      </c>
      <c r="H80" s="67">
        <v>0.94540000000000046</v>
      </c>
      <c r="I80" s="67">
        <v>0.95468000000000053</v>
      </c>
      <c r="J80" s="67">
        <v>0.96367000000000058</v>
      </c>
      <c r="K80" s="67">
        <v>0.97087000000000068</v>
      </c>
      <c r="L80" s="67">
        <v>1.0000000000000004</v>
      </c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70">
        <v>0.91857</v>
      </c>
      <c r="BG80" s="70">
        <v>0.92686999999999997</v>
      </c>
      <c r="BH80" s="70">
        <v>0.93569000000000002</v>
      </c>
      <c r="BI80" s="70">
        <v>0.94499999999999995</v>
      </c>
      <c r="BJ80" s="70">
        <v>0.95452999999999999</v>
      </c>
      <c r="BK80" s="70">
        <v>0.96362999999999999</v>
      </c>
      <c r="BL80" s="70">
        <v>0.97087000000000001</v>
      </c>
      <c r="BM80" s="70">
        <v>1</v>
      </c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</row>
    <row r="81" spans="1:109" ht="21" x14ac:dyDescent="0.4">
      <c r="A81" s="66"/>
      <c r="B81" s="66"/>
      <c r="C81" s="66"/>
      <c r="D81" s="61">
        <v>81</v>
      </c>
      <c r="E81" s="67">
        <v>0.92834000000000028</v>
      </c>
      <c r="F81" s="67">
        <v>0.93652000000000035</v>
      </c>
      <c r="G81" s="67">
        <v>0.94540000000000046</v>
      </c>
      <c r="H81" s="67">
        <v>0.95468000000000053</v>
      </c>
      <c r="I81" s="67">
        <v>0.96367000000000058</v>
      </c>
      <c r="J81" s="67">
        <v>0.97087000000000068</v>
      </c>
      <c r="K81" s="67">
        <v>1.0000000000000004</v>
      </c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70">
        <v>0.92686999999999997</v>
      </c>
      <c r="BG81" s="70">
        <v>0.93569000000000002</v>
      </c>
      <c r="BH81" s="70">
        <v>0.94499999999999995</v>
      </c>
      <c r="BI81" s="70">
        <v>0.95452999999999999</v>
      </c>
      <c r="BJ81" s="70">
        <v>0.96362999999999999</v>
      </c>
      <c r="BK81" s="70">
        <v>0.97087000000000001</v>
      </c>
      <c r="BL81" s="70">
        <v>1</v>
      </c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</row>
    <row r="82" spans="1:109" ht="21" x14ac:dyDescent="0.4">
      <c r="A82" s="66"/>
      <c r="B82" s="66"/>
      <c r="C82" s="66"/>
      <c r="D82" s="61">
        <v>82</v>
      </c>
      <c r="E82" s="67">
        <v>0.93652000000000035</v>
      </c>
      <c r="F82" s="67">
        <v>0.94540000000000046</v>
      </c>
      <c r="G82" s="67">
        <v>0.95468000000000053</v>
      </c>
      <c r="H82" s="67">
        <v>0.96367000000000058</v>
      </c>
      <c r="I82" s="67">
        <v>0.97087000000000068</v>
      </c>
      <c r="J82" s="67">
        <v>1.0000000000000004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70">
        <v>0.93569000000000002</v>
      </c>
      <c r="BG82" s="70">
        <v>0.94499999999999995</v>
      </c>
      <c r="BH82" s="70">
        <v>0.95452999999999999</v>
      </c>
      <c r="BI82" s="70">
        <v>0.96362999999999999</v>
      </c>
      <c r="BJ82" s="70">
        <v>0.97087000000000001</v>
      </c>
      <c r="BK82" s="70">
        <v>1</v>
      </c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</row>
    <row r="83" spans="1:109" ht="21" x14ac:dyDescent="0.4">
      <c r="A83" s="66"/>
      <c r="B83" s="66"/>
      <c r="C83" s="66"/>
      <c r="D83" s="61">
        <v>83</v>
      </c>
      <c r="E83" s="67">
        <v>0.94540000000000046</v>
      </c>
      <c r="F83" s="67">
        <v>0.95468000000000053</v>
      </c>
      <c r="G83" s="67">
        <v>0.96367000000000058</v>
      </c>
      <c r="H83" s="67">
        <v>0.97087000000000068</v>
      </c>
      <c r="I83" s="67">
        <v>1.0000000000000004</v>
      </c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70">
        <v>0.94499999999999995</v>
      </c>
      <c r="BG83" s="70">
        <v>0.95452999999999999</v>
      </c>
      <c r="BH83" s="70">
        <v>0.96362999999999999</v>
      </c>
      <c r="BI83" s="70">
        <v>0.97087000000000001</v>
      </c>
      <c r="BJ83" s="70">
        <v>1</v>
      </c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</row>
    <row r="84" spans="1:109" ht="21" x14ac:dyDescent="0.4">
      <c r="A84" s="66"/>
      <c r="B84" s="66"/>
      <c r="C84" s="66"/>
      <c r="D84" s="61">
        <v>84</v>
      </c>
      <c r="E84" s="67">
        <v>0.95468000000000053</v>
      </c>
      <c r="F84" s="67">
        <v>0.96367000000000058</v>
      </c>
      <c r="G84" s="67">
        <v>0.97087000000000068</v>
      </c>
      <c r="H84" s="67">
        <v>1.0000000000000004</v>
      </c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70">
        <v>0.95452999999999999</v>
      </c>
      <c r="BG84" s="70">
        <v>0.96362999999999999</v>
      </c>
      <c r="BH84" s="70">
        <v>0.97087000000000001</v>
      </c>
      <c r="BI84" s="70">
        <v>1</v>
      </c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</row>
    <row r="85" spans="1:109" ht="21" x14ac:dyDescent="0.4">
      <c r="A85" s="66"/>
      <c r="B85" s="66"/>
      <c r="C85" s="66"/>
      <c r="D85" s="61">
        <v>85</v>
      </c>
      <c r="E85" s="67">
        <v>0.96367000000000058</v>
      </c>
      <c r="F85" s="67">
        <v>0.97087000000000068</v>
      </c>
      <c r="G85" s="67">
        <v>1.0000000000000004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70">
        <v>0.96362999999999999</v>
      </c>
      <c r="BG85" s="70">
        <v>0.97087000000000001</v>
      </c>
      <c r="BH85" s="70">
        <v>1</v>
      </c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</row>
    <row r="86" spans="1:109" ht="21" x14ac:dyDescent="0.4">
      <c r="A86" s="66"/>
      <c r="B86" s="66"/>
      <c r="C86" s="66"/>
      <c r="D86" s="66">
        <v>86</v>
      </c>
      <c r="E86" s="67">
        <v>0.97087000000000068</v>
      </c>
      <c r="F86" s="67">
        <v>1.0000000000000004</v>
      </c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70">
        <v>0.97087000000000001</v>
      </c>
      <c r="BG86" s="70">
        <v>1</v>
      </c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</row>
    <row r="87" spans="1:109" ht="21" x14ac:dyDescent="0.4">
      <c r="A87" s="66"/>
      <c r="B87" s="66"/>
      <c r="C87" s="66"/>
      <c r="D87" s="66">
        <v>87</v>
      </c>
      <c r="E87" s="67">
        <v>1.0000000000000004</v>
      </c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70">
        <v>1</v>
      </c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</row>
    <row r="88" spans="1:109" ht="21" x14ac:dyDescent="0.4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Simulador</vt:lpstr>
      <vt:lpstr>Valores IOF</vt:lpstr>
      <vt:lpstr>Simulações</vt:lpstr>
      <vt:lpstr>Resgate</vt:lpstr>
    </vt:vector>
  </TitlesOfParts>
  <Company>Ápis Investimentos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Pinheiro</dc:creator>
  <cp:lastModifiedBy>Bryan mitchell</cp:lastModifiedBy>
  <cp:lastPrinted>2025-10-06T19:22:13Z</cp:lastPrinted>
  <dcterms:created xsi:type="dcterms:W3CDTF">2012-07-30T16:33:55Z</dcterms:created>
  <dcterms:modified xsi:type="dcterms:W3CDTF">2026-04-15T19:16:00Z</dcterms:modified>
</cp:coreProperties>
</file>